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 Inventory" sheetId="1" r:id="rId5"/>
    <sheet state="visible" name=" Physical Assets" sheetId="2" r:id="rId6"/>
    <sheet state="visible" name=" Digital&amp;Accounts" sheetId="3" r:id="rId7"/>
    <sheet state="visible" name="Data&amp;Workbooks" sheetId="4" r:id="rId8"/>
    <sheet state="visible" name="Office&amp;Facilities" sheetId="5" r:id="rId9"/>
    <sheet state="visible" name="Dashboard" sheetId="6" r:id="rId10"/>
    <sheet state="visible" name="Calc_Data" sheetId="7" r:id="rId11"/>
  </sheets>
  <definedNames>
    <definedName hidden="1" localSheetId="4" name="Z_5E68B521_D528_475B_82FC_DB374257F3D9_.wvu.FilterData">'Office&amp;Facilities'!$A$1:$J$33</definedName>
    <definedName hidden="1" localSheetId="1" name="Z_6EDEC001_9208_4114_8070_D36E7E58FE50_.wvu.FilterData">' Physical Assets'!$A$1:$K$23</definedName>
    <definedName hidden="1" localSheetId="2" name="Z_93897C6C_EB8E_4A06_89F4_AA24A928C324_.wvu.FilterData">' Digital&amp;Accounts'!$A$1:$H$57</definedName>
    <definedName hidden="1" localSheetId="1" name="Z_383AC595_A16A_4466_9B40_2688F208861B_.wvu.FilterData">' Physical Assets'!$A$1:$K$23</definedName>
    <definedName hidden="1" localSheetId="1" name="Z_0CD8F4B0_CC08_4B30_8033_41FA16D52C8A_.wvu.FilterData">' Physical Assets'!$A$1:$K$23</definedName>
    <definedName hidden="1" localSheetId="4" name="Z_0A30132F_8095_4BF8_9A15_AEB114B2BAB6_.wvu.FilterData">'Office&amp;Facilities'!$A$1:$J$33</definedName>
    <definedName hidden="1" localSheetId="1" name="Z_277C53D6_A123_401C_A2CA_B7D2F7A9B9CC_.wvu.FilterData">' Physical Assets'!$A$1:$K$23</definedName>
    <definedName hidden="1" localSheetId="2" name="Z_4FC43E10_0122_4A59_873A_F52AE7F7B1CC_.wvu.FilterData">' Digital&amp;Accounts'!$A$1:$H$57</definedName>
    <definedName hidden="1" localSheetId="1" name="Z_85CCDB83_F69E_43A4_9D34_020721B4EC4E_.wvu.FilterData">' Physical Assets'!$A$1:$K$23</definedName>
    <definedName hidden="1" localSheetId="1" name="Z_B0A6D87F_0812_4852_B202_4422CBB8C77E_.wvu.FilterData">' Physical Assets'!$A$1:$K$23</definedName>
    <definedName hidden="1" localSheetId="1" name="Z_714AF1AB_C28E_4AF4_9EC7_92D8E8E4FA41_.wvu.FilterData">' Physical Assets'!$A$1:$K$23</definedName>
    <definedName hidden="1" localSheetId="1" name="Z_9B8A5177_8882_41E3_A635_5F79342B5180_.wvu.FilterData">' Physical Assets'!$A$1:$K$23</definedName>
    <definedName hidden="1" localSheetId="2" name="Z_2912504F_3869_4282_9BD1_0E8CFB9F7DEF_.wvu.FilterData">' Digital&amp;Accounts'!$A$1:$H$57</definedName>
    <definedName hidden="1" localSheetId="4" name="Z_AB88CDB1_AE26_4B19_A1FF_6C78CE2D35A5_.wvu.FilterData">'Office&amp;Facilities'!$A$1:$J$33</definedName>
    <definedName hidden="1" localSheetId="0" name="Z_796123B4_D3FF_4D26_B5E1_7D714078702F_.wvu.FilterData">'Staff Inventory'!$A$1:$I$10</definedName>
    <definedName hidden="1" localSheetId="0" name="Z_2571501F_0BDD_4501_BE9E_CBA00DBDBD07_.wvu.FilterData">'Staff Inventory'!$A$1:$I$10</definedName>
    <definedName hidden="1" localSheetId="2" name="Z_526C70D8_2A8D_4F20_8458_27C9BCA5B1A2_.wvu.FilterData">' Digital&amp;Accounts'!$A$1:$H$57</definedName>
    <definedName hidden="1" localSheetId="4" name="Z_51650320_9047_4791_8611_4BE4AFC6BA28_.wvu.FilterData">'Office&amp;Facilities'!$A$1:$J$33</definedName>
  </definedNames>
  <calcPr/>
  <customWorkbookViews>
    <customWorkbookView activeSheetId="0" maximized="1" windowHeight="0" windowWidth="0" guid="{5E68B521-D528-475B-82FC-DB374257F3D9}" name="Benin Office Facilities"/>
    <customWorkbookView activeSheetId="0" maximized="1" windowHeight="0" windowWidth="0" guid="{6EDEC001-9208-4114-8070-D36E7E58FE50}" name="Marketing &amp; Sales - Hardware"/>
    <customWorkbookView activeSheetId="0" maximized="1" windowHeight="0" windowWidth="0" guid="{93897C6C-EB8E-4A06-89F4-AA24A928C324}" name="Assigned User - Effiong"/>
    <customWorkbookView activeSheetId="0" maximized="1" windowHeight="0" windowWidth="0" guid="{383AC595-A16A-4466-9B40-2688F208861B}" name="Conversion - Hardware"/>
    <customWorkbookView activeSheetId="0" maximized="1" windowHeight="0" windowWidth="0" guid="{0CD8F4B0-CC08-4B30-8033-41FA16D52C8A}" name="Abuja Branch - Hardware"/>
    <customWorkbookView activeSheetId="0" maximized="1" windowHeight="0" windowWidth="0" guid="{0A30132F-8095-4BF8-9A15-AEB114B2BAB6}" name="Abuja Office Facilities"/>
    <customWorkbookView activeSheetId="0" maximized="1" windowHeight="0" windowWidth="0" guid="{277C53D6-A123-401C-A2CA-B7D2F7A9B9CC}" name="Applications &amp; Counseling - Hardware"/>
    <customWorkbookView activeSheetId="0" maximized="1" windowHeight="0" windowWidth="0" guid="{4FC43E10-0122-4A59-873A-F52AE7F7B1CC}" name="Assigned User - Collins"/>
    <customWorkbookView activeSheetId="0" maximized="1" windowHeight="0" windowWidth="0" guid="{85CCDB83-F69E-43A4-9D34-020721B4EC4E}" name="Benin Branch - Hardware"/>
    <customWorkbookView activeSheetId="0" maximized="1" windowHeight="0" windowWidth="0" guid="{B0A6D87F-0812-4852-B202-4422CBB8C77E}" name="Management - Hardware"/>
    <customWorkbookView activeSheetId="0" maximized="1" windowHeight="0" windowWidth="0" guid="{714AF1AB-C28E-4AF4-9EC7-92D8E8E4FA41}" name="Marketing / Applications (Joint) - Hardware"/>
    <customWorkbookView activeSheetId="0" maximized="1" windowHeight="0" windowWidth="0" guid="{9B8A5177-8882-41E3-A635-5F79342B5180}" name="IT &amp; Infrastructure - Hardware"/>
    <customWorkbookView activeSheetId="0" maximized="1" windowHeight="0" windowWidth="0" guid="{2912504F-3869-4282-9BD1-0E8CFB9F7DEF}" name="Assigned User - Peter Abah"/>
    <customWorkbookView activeSheetId="0" maximized="1" windowHeight="0" windowWidth="0" guid="{AB88CDB1-AE26-4B19-A1FF-6C78CE2D35A5}" name="Office Electronics &amp; Equipment"/>
    <customWorkbookView activeSheetId="0" maximized="1" windowHeight="0" windowWidth="0" guid="{796123B4-D3FF-4D26-B5E1-7D714078702F}" name="Benin Branch Staff"/>
    <customWorkbookView activeSheetId="0" maximized="1" windowHeight="0" windowWidth="0" guid="{2571501F-0BDD-4501-BE9E-CBA00DBDBD07}" name="Abuja Branch Staff"/>
    <customWorkbookView activeSheetId="0" maximized="1" windowHeight="0" windowWidth="0" guid="{526C70D8-2A8D-4F20-8458-27C9BCA5B1A2}" name="Assigned User - Cletus Anioke"/>
    <customWorkbookView activeSheetId="0" maximized="1" windowHeight="0" windowWidth="0" guid="{51650320-9047-4791-8611-4BE4AFC6BA28}" name="Furniture &amp; Desks"/>
  </customWorkbookViews>
</workbook>
</file>

<file path=xl/sharedStrings.xml><?xml version="1.0" encoding="utf-8"?>
<sst xmlns="http://schemas.openxmlformats.org/spreadsheetml/2006/main" count="1010" uniqueCount="566">
  <si>
    <t>S/N</t>
  </si>
  <si>
    <t>Staff Name</t>
  </si>
  <si>
    <t>Department</t>
  </si>
  <si>
    <t>Position</t>
  </si>
  <si>
    <t>Employment Date</t>
  </si>
  <si>
    <t>Email</t>
  </si>
  <si>
    <t>Phone Number</t>
  </si>
  <si>
    <t>Registered Under</t>
  </si>
  <si>
    <t>Asset Tag ID</t>
  </si>
  <si>
    <t>Category (Laptop/Monitor/Mobile)</t>
  </si>
  <si>
    <t>Branch</t>
  </si>
  <si>
    <t>Make &amp; Model</t>
  </si>
  <si>
    <t>Serial Number</t>
  </si>
  <si>
    <t>Assigned Staff</t>
  </si>
  <si>
    <t>Physical Location</t>
  </si>
  <si>
    <t>Purchase Date</t>
  </si>
  <si>
    <t>Condition</t>
  </si>
  <si>
    <t>IZUNYON BLESSING</t>
  </si>
  <si>
    <t>Status (Active/Repair/Retired)</t>
  </si>
  <si>
    <t>APPLICATION</t>
  </si>
  <si>
    <t>STUDENT COUNSELLOR</t>
  </si>
  <si>
    <t>16th FEBRUARY 2026</t>
  </si>
  <si>
    <t>Laptop</t>
  </si>
  <si>
    <t>izunyon.basechaninternational@gmail.com</t>
  </si>
  <si>
    <t>HP Elitebook 840 G6</t>
  </si>
  <si>
    <t>5CG9439J8N</t>
  </si>
  <si>
    <t>BLESSING</t>
  </si>
  <si>
    <t>Benin Branch</t>
  </si>
  <si>
    <t>Platform / Software</t>
  </si>
  <si>
    <t>Account / Login Email</t>
  </si>
  <si>
    <t>Sub-Agent / Handle ID</t>
  </si>
  <si>
    <t>27th Jan. 2026</t>
  </si>
  <si>
    <t>Assigned User</t>
  </si>
  <si>
    <t>User Role</t>
  </si>
  <si>
    <t>Passwords</t>
  </si>
  <si>
    <t>Password Vault Status</t>
  </si>
  <si>
    <t>Microsoft office suite</t>
  </si>
  <si>
    <t>Blessing</t>
  </si>
  <si>
    <t>user</t>
  </si>
  <si>
    <t>Firmli CRM</t>
  </si>
  <si>
    <t>Workbook / Doc Title</t>
  </si>
  <si>
    <t>Business Function</t>
  </si>
  <si>
    <t>Cloud Storage Link (URL)</t>
  </si>
  <si>
    <t>Primary File Owner</t>
  </si>
  <si>
    <t>fairly used in good condition</t>
  </si>
  <si>
    <t>Active</t>
  </si>
  <si>
    <t>Access Permissions</t>
  </si>
  <si>
    <t>Last Audit Date</t>
  </si>
  <si>
    <t>Basechan Benin Branch Lead Spreadsheet</t>
  </si>
  <si>
    <t>Monitor</t>
  </si>
  <si>
    <t>https://docs.google.com/spreadsheets/d/10g2DN4Yf9pxSKFgZbGuTVzO6uYzS_B42gKejl0Yv5tI/edit?ouid=113810905748685353074&amp;usp=sheets_home&amp;ths=true</t>
  </si>
  <si>
    <t xml:space="preserve">Basechan </t>
  </si>
  <si>
    <t>Application/Report</t>
  </si>
  <si>
    <t>ALL</t>
  </si>
  <si>
    <t>24th Sept. 2026</t>
  </si>
  <si>
    <t>HP ProOne 400 G2 20-in Non-Touch AiO</t>
  </si>
  <si>
    <t>0813089A-E092-4710-8A73-77B980C31449</t>
  </si>
  <si>
    <t>Peter Abah</t>
  </si>
  <si>
    <t>Team Lead Spreadsheet</t>
  </si>
  <si>
    <t>Conversion</t>
  </si>
  <si>
    <t>Basechan@2026</t>
  </si>
  <si>
    <t>Abuja Branch</t>
  </si>
  <si>
    <t>https://docs.google.com/spreadsheets/d/12YF7NGuEJrIQA02ERmPzxLlTbdzwJYR1wvAWlQLu82I/edit</t>
  </si>
  <si>
    <t>Lead management/Marketing</t>
  </si>
  <si>
    <t>18th Sept. 2026</t>
  </si>
  <si>
    <t>Good</t>
  </si>
  <si>
    <t>Crizac Spreadsheet</t>
  </si>
  <si>
    <t>https://docs.google.com/spreadsheets/d/1E5MU8BmMhotD5ty6IeZ7dyw0XuYsiHrU8SG65Nbu3DU/edit</t>
  </si>
  <si>
    <t>Application</t>
  </si>
  <si>
    <t>Google workspace</t>
  </si>
  <si>
    <t>Desktop computer</t>
  </si>
  <si>
    <t>ALL DEPOSITS</t>
  </si>
  <si>
    <t>DESKTOP LG8N6S8</t>
  </si>
  <si>
    <t>Deposit Report</t>
  </si>
  <si>
    <t>Cletus Anioke</t>
  </si>
  <si>
    <t>crizac</t>
  </si>
  <si>
    <t>Marketing and sales</t>
  </si>
  <si>
    <t>Lags, freezes, and malfunctions frequently</t>
  </si>
  <si>
    <t>functional</t>
  </si>
  <si>
    <t>siuk</t>
  </si>
  <si>
    <r>
      <rPr>
        <rFont val="Arial"/>
        <color rgb="FF1155CC"/>
        <u/>
      </rPr>
      <t>https://docs.google.com/spreadsheets/d/1JnDAR148sOcjcjByYyb88hOLIZnyPpIluV6YvtFNUEs/edit?gid=107644410#gid=107644410</t>
    </r>
  </si>
  <si>
    <t>Keyboard</t>
  </si>
  <si>
    <t>EDVOY</t>
  </si>
  <si>
    <r>
      <rPr>
        <rFont val="Arial"/>
        <color rgb="FF1155CC"/>
        <u/>
      </rPr>
      <t>peter.basechaninternational@gmail.com</t>
    </r>
  </si>
  <si>
    <t>In good condition</t>
  </si>
  <si>
    <t>Basechan</t>
  </si>
  <si>
    <t>Mouse</t>
  </si>
  <si>
    <r>
      <rPr>
        <rFont val="Arial"/>
        <color rgb="FF1155CC"/>
        <u/>
      </rPr>
      <t>peter.basechaninternational@gmail.com</t>
    </r>
  </si>
  <si>
    <t>Desk</t>
  </si>
  <si>
    <t>Drawer</t>
  </si>
  <si>
    <t>SIM card</t>
  </si>
  <si>
    <t>B2B Account Manager &amp; Counsellor</t>
  </si>
  <si>
    <t>password</t>
  </si>
  <si>
    <t>Crizac</t>
  </si>
  <si>
    <r>
      <rPr>
        <rFont val="Arial"/>
        <color rgb="FF1155CC"/>
        <u/>
      </rPr>
      <t>peter.basechaninternational@gmail.com</t>
    </r>
  </si>
  <si>
    <t>LAPTOP</t>
  </si>
  <si>
    <t>Marketing and Sales</t>
  </si>
  <si>
    <t>HP 840 G</t>
  </si>
  <si>
    <r>
      <rPr>
        <rFont val="Arial"/>
        <color rgb="FF1155CC"/>
        <u/>
      </rPr>
      <t>peter.basechaninternational@gmail.com</t>
    </r>
  </si>
  <si>
    <t>Staff Account &amp; Counsellor</t>
  </si>
  <si>
    <t>Team Lead</t>
  </si>
  <si>
    <t>EGBASE JOHNMARY</t>
  </si>
  <si>
    <t>IT &amp; Infrastructure Systems</t>
  </si>
  <si>
    <r>
      <rPr>
        <rFont val="Arial"/>
        <color rgb="FF1155CC"/>
        <u/>
      </rPr>
      <t>Basechan2022@</t>
    </r>
  </si>
  <si>
    <r>
      <rPr>
        <rFont val="Arial"/>
        <color rgb="FF1155CC"/>
        <u/>
      </rPr>
      <t>cletus.basechaninternational@gmail.com</t>
    </r>
  </si>
  <si>
    <t>ACTIVE</t>
  </si>
  <si>
    <t>Desktop</t>
  </si>
  <si>
    <t>HP</t>
  </si>
  <si>
    <t>DESKTOP-RODQ0JJ</t>
  </si>
  <si>
    <t>JUMAI</t>
  </si>
  <si>
    <t>SIUK</t>
  </si>
  <si>
    <t>GOOD</t>
  </si>
  <si>
    <r>
      <rPr>
        <rFont val="Arial"/>
        <color rgb="FF1155CC"/>
        <u/>
      </rPr>
      <t>peter.basechaninternational@gmail.com</t>
    </r>
  </si>
  <si>
    <r>
      <rPr>
        <rFont val="Arial"/>
        <color rgb="FF1155CC"/>
        <u/>
      </rPr>
      <t>Basechan2022@</t>
    </r>
  </si>
  <si>
    <t>Edvoy</t>
  </si>
  <si>
    <r>
      <rPr>
        <rFont val="Arial"/>
        <color rgb="FF1155CC"/>
        <u/>
      </rPr>
      <t>collinsbasechan@gmail.com, egbase@basechaninternational.com, feridu.basechaninternational@gmail.com, info@basechaninternational.com, ithub@basechaninternational.com, johnmary.basechaninternational@gmail.com, jumaibasechaninternational@gmail.com, suhas.chandran22@gmail.com</t>
    </r>
  </si>
  <si>
    <r>
      <rPr>
        <rFont val="Arial"/>
        <color rgb="FF1155CC"/>
        <u/>
      </rPr>
      <t>peter@basechancontractors.co.uk</t>
    </r>
  </si>
  <si>
    <t>HP EliteBook 840 G6</t>
  </si>
  <si>
    <t>5CG0091F0M</t>
  </si>
  <si>
    <t>Nwaiwu Blessing (Oge)</t>
  </si>
  <si>
    <t>Marketing/applications</t>
  </si>
  <si>
    <t>Personal</t>
  </si>
  <si>
    <t>27th January, 2026</t>
  </si>
  <si>
    <t>Fairly used and in good condition</t>
  </si>
  <si>
    <t>Egbase Johnmary</t>
  </si>
  <si>
    <t>IT DEPARTMENT</t>
  </si>
  <si>
    <t>IT EXEC</t>
  </si>
  <si>
    <t>HP laptop Core i7</t>
  </si>
  <si>
    <t>FEBUARY 2026</t>
  </si>
  <si>
    <t>5CG9503PS8</t>
  </si>
  <si>
    <r>
      <rPr>
        <rFont val="Arial"/>
        <color rgb="FF1155CC"/>
        <u/>
      </rPr>
      <t>Basechan2022@</t>
    </r>
  </si>
  <si>
    <t>Feridu</t>
  </si>
  <si>
    <r>
      <rPr>
        <rFont val="Arial"/>
        <color rgb="FF1155CC"/>
        <u/>
      </rPr>
      <t>TEAM - LEADS SPREADSHEET - Google Sheets</t>
    </r>
  </si>
  <si>
    <r>
      <rPr>
        <rFont val="Arial"/>
        <color rgb="FF1155CC"/>
        <u/>
      </rPr>
      <t>Johnmary.basechaninternational@gmail.com</t>
    </r>
  </si>
  <si>
    <t>27/01/2026s</t>
  </si>
  <si>
    <t>basechan-team.web.app</t>
  </si>
  <si>
    <t>cletus.basechaninternational@gmail.com</t>
  </si>
  <si>
    <t>Babs</t>
  </si>
  <si>
    <t>User</t>
  </si>
  <si>
    <t>Monitor,</t>
  </si>
  <si>
    <t>Cletus@2023</t>
  </si>
  <si>
    <t>Google password manager</t>
  </si>
  <si>
    <t>Effiong Oyonumo</t>
  </si>
  <si>
    <t>Applications</t>
  </si>
  <si>
    <t>https://basechan-team.web.app/</t>
  </si>
  <si>
    <t>Headset</t>
  </si>
  <si>
    <t>fairly used and in bad condition</t>
  </si>
  <si>
    <t>Retired</t>
  </si>
  <si>
    <t>Personal BVN</t>
  </si>
  <si>
    <t>JUMAI ADAMU</t>
  </si>
  <si>
    <t>SN5CG0281MHC</t>
  </si>
  <si>
    <r>
      <rPr>
        <rFont val="Arial"/>
        <color rgb="FF1155CC"/>
        <u/>
      </rPr>
      <t>jumaibasechaninternational@gmail.com</t>
    </r>
  </si>
  <si>
    <t>new and in good condition</t>
  </si>
  <si>
    <t>Hp Desktop</t>
  </si>
  <si>
    <t>HP ProOne 400 G2 20</t>
  </si>
  <si>
    <t>T962NFQ</t>
  </si>
  <si>
    <t>IMUEKEMHE COLLINS</t>
  </si>
  <si>
    <t>MANAGEMENT</t>
  </si>
  <si>
    <t>USED</t>
  </si>
  <si>
    <t>HP Laptop</t>
  </si>
  <si>
    <t>HP EliteBook 940 G6</t>
  </si>
  <si>
    <t>Ayomide travel</t>
  </si>
  <si>
    <t>Acer Laptop</t>
  </si>
  <si>
    <t>Acer Chrome book Plus</t>
  </si>
  <si>
    <t>Marvel home</t>
  </si>
  <si>
    <t>NXKNUEK00645003CDD3400</t>
  </si>
  <si>
    <t>Student Counsellor</t>
  </si>
  <si>
    <t>2nd March, 2026</t>
  </si>
  <si>
    <t>canva.com</t>
  </si>
  <si>
    <r>
      <rPr>
        <rFont val="Arial"/>
        <color rgb="FF1155CC"/>
        <u/>
      </rPr>
      <t>nwaiwu.basechaninternational@gmail.com</t>
    </r>
  </si>
  <si>
    <r>
      <rPr>
        <rFont val="Arial"/>
        <color rgb="FF1155CC"/>
        <u/>
      </rPr>
      <t>Marketing Status Report - Google Sheets</t>
    </r>
  </si>
  <si>
    <t>Bonaventure</t>
  </si>
  <si>
    <t>Nigeria2023*</t>
  </si>
  <si>
    <t>https://www.canva.com/</t>
  </si>
  <si>
    <t>Basechan International Limited</t>
  </si>
  <si>
    <t>Feridu Yakubu</t>
  </si>
  <si>
    <t>Branch Supervisor</t>
  </si>
  <si>
    <t>3rd January 2023</t>
  </si>
  <si>
    <r>
      <rPr>
        <rFont val="Arial"/>
        <color rgb="FF1155CC"/>
        <sz val="11.0"/>
        <u/>
      </rPr>
      <t>feridu.basechaninternational@gmail.com</t>
    </r>
  </si>
  <si>
    <r>
      <rPr>
        <rFont val="Arial"/>
        <color rgb="FF1155CC"/>
        <u/>
      </rPr>
      <t>Basechan International Admissions Application (Responses) - Google Sheets</t>
    </r>
  </si>
  <si>
    <t>crizac.com</t>
  </si>
  <si>
    <t>Counsellor</t>
  </si>
  <si>
    <r>
      <rPr>
        <rFont val="Arial"/>
        <color rgb="FF1155CC"/>
        <u/>
      </rPr>
      <t>effiong.basechaninternational@gmail.com</t>
    </r>
  </si>
  <si>
    <r>
      <rPr>
        <rFont val="Arial"/>
        <color rgb="FF1155CC"/>
        <u/>
      </rPr>
      <t>https://docs.google.com/spreadsheets/d/1E5MU8BmMhotD5ty6IeZ7dyw0XuYsiHrU8SG65Nbu3DU/edit?gid=1642543170#gid=1642543170</t>
    </r>
  </si>
  <si>
    <t>Imuekemhe Oshioke</t>
  </si>
  <si>
    <t>Management</t>
  </si>
  <si>
    <t>Manager</t>
  </si>
  <si>
    <t>Collins@basechaninternational.com</t>
  </si>
  <si>
    <t>MTN</t>
  </si>
  <si>
    <t>Google</t>
  </si>
  <si>
    <t>https://www.crizac.com/authentication/login</t>
  </si>
  <si>
    <r>
      <rPr>
        <rFont val="Arial"/>
        <color rgb="FF1155CC"/>
        <u/>
      </rPr>
      <t>jumaibasechaninternational@gmail.com</t>
    </r>
  </si>
  <si>
    <r>
      <rPr>
        <rFont val="Arial"/>
        <color rgb="FF1155CC"/>
        <u/>
      </rPr>
      <t>Jumai@2022</t>
    </r>
  </si>
  <si>
    <t>lsbu.ac.uk</t>
  </si>
  <si>
    <t>Google Manager</t>
  </si>
  <si>
    <t>Basechan CRM</t>
  </si>
  <si>
    <r>
      <rPr>
        <rFont val="Arial"/>
        <color rgb="FF1155CC"/>
        <u/>
      </rPr>
      <t>jumaibasechaninternational@gmail.com</t>
    </r>
  </si>
  <si>
    <t>Counselor</t>
  </si>
  <si>
    <r>
      <rPr>
        <rFont val="Arial"/>
        <color rgb="FF1155CC"/>
        <u/>
      </rPr>
      <t>Jumai@2022</t>
    </r>
  </si>
  <si>
    <t>SI-UK CRM</t>
  </si>
  <si>
    <r>
      <rPr>
        <rFont val="Arial"/>
        <color rgb="FF1155CC"/>
        <u/>
      </rPr>
      <t>jumaibasechaninternational@gmail.com</t>
    </r>
  </si>
  <si>
    <r>
      <rPr>
        <rFont val="Arial"/>
        <color rgb="FF1155CC"/>
        <u/>
      </rPr>
      <t>Jumai@2022</t>
    </r>
  </si>
  <si>
    <t>CRIZAC</t>
  </si>
  <si>
    <r>
      <rPr>
        <rFont val="Arial"/>
        <color rgb="FF1155CC"/>
        <u/>
      </rPr>
      <t>jumaibasechaninternational@gmail.com</t>
    </r>
  </si>
  <si>
    <t>https://apply-international.lsbu.ac.uk/signin</t>
  </si>
  <si>
    <r>
      <rPr>
        <rFont val="Arial"/>
        <color rgb="FF1155CC"/>
        <u/>
      </rPr>
      <t>Jumai@2022</t>
    </r>
  </si>
  <si>
    <t>22nd Sept. 2026</t>
  </si>
  <si>
    <t>applications@basechaninternational.com</t>
  </si>
  <si>
    <t>Basechan*2026</t>
  </si>
  <si>
    <t>Gmail google.com</t>
  </si>
  <si>
    <t>si-applications.com</t>
  </si>
  <si>
    <t>10th Sept. 2026</t>
  </si>
  <si>
    <t>https://www.si-applications.com/auth/login</t>
  </si>
  <si>
    <t>23rd Sept. 2026</t>
  </si>
  <si>
    <t>Benin BranchSpreadsheet</t>
  </si>
  <si>
    <t>RyRVsn6Tr4</t>
  </si>
  <si>
    <t>Deposit Spreadsheet</t>
  </si>
  <si>
    <t>https://docs.google.com/spreadsheets/d/1JnDAR148sOcjcjByYyb88hOLIZnyPpIluV6YvtFNUEs/edit</t>
  </si>
  <si>
    <t>CANVA</t>
  </si>
  <si>
    <t>Basechan international@gmail.con</t>
  </si>
  <si>
    <t>USER</t>
  </si>
  <si>
    <t>FIRMLY CRM</t>
  </si>
  <si>
    <r>
      <rPr>
        <rFont val="Arial"/>
        <color rgb="FF1155CC"/>
        <u/>
      </rPr>
      <t>ithub@basechaninternational.com</t>
    </r>
  </si>
  <si>
    <t>Referral</t>
  </si>
  <si>
    <t>https://docs.google.com/spreadsheets/d/14zwDNI-gjhGAxLGPfpQDKpmD7uBu9MSvQ5GECSQ19dk/edit?gid=0#gid=0</t>
  </si>
  <si>
    <t>TECH SUPPORT/ADMIN</t>
  </si>
  <si>
    <t>Tech@123!</t>
  </si>
  <si>
    <t>GOOGLE WORKSPACE</t>
  </si>
  <si>
    <t>ithub@basechaninternational.com</t>
  </si>
  <si>
    <t>TECH SUPPORT</t>
  </si>
  <si>
    <t>2026 Mid Year spreadshet</t>
  </si>
  <si>
    <r>
      <rPr>
        <rFont val="Arial"/>
        <color rgb="FF1155CC"/>
        <u/>
      </rPr>
      <t>Basechan@2026</t>
    </r>
  </si>
  <si>
    <t>https://docs.google.com/spreadsheets/d/1sANdkSAgNSirxkC2uAwcWlGiBrGtYV2ihUXM1rYgNi0/edit?gid=0#gid=0</t>
  </si>
  <si>
    <r>
      <rPr>
        <rFont val="Arial"/>
        <color rgb="FF1155CC"/>
        <u/>
      </rPr>
      <t>nwaiwu.basechaninternational@gmail.com</t>
    </r>
  </si>
  <si>
    <t>nwaiwu.basechaninternational@gmail.com</t>
  </si>
  <si>
    <t>Application Report Spreadsheet</t>
  </si>
  <si>
    <t>https://docs.google.com/spreadsheets/d/1-0IgKS0FieBtvj44hZoiGxFFfmLaXtr1k9GzCyzw9NY/edit?gid=1952566712#gid=1952566712</t>
  </si>
  <si>
    <t>Si UK</t>
  </si>
  <si>
    <t>Team Leads</t>
  </si>
  <si>
    <r>
      <rPr>
        <rFont val="Arial"/>
        <color rgb="FF1155CC"/>
        <sz val="11.0"/>
        <u/>
      </rPr>
      <t>feridu.basechaninternstional@gmail.com/Feridu@2023</t>
    </r>
  </si>
  <si>
    <t>Agent Leads</t>
  </si>
  <si>
    <t>https://docs.google.com/spreadsheets/d/1wYyuc0NZ-iX9yjhVls7WAyTrRI8Hcs0ZHEJ8tqbez3c/edit?gid=240502715#gid=240502715</t>
  </si>
  <si>
    <t>Feridu@2023</t>
  </si>
  <si>
    <r>
      <rPr>
        <rFont val="Arial"/>
        <color rgb="FF1155CC"/>
        <sz val="11.0"/>
        <u/>
      </rPr>
      <t>feridu.basechaninternstional@gmail.com</t>
    </r>
  </si>
  <si>
    <t>APPLICATION REPORT</t>
  </si>
  <si>
    <t>UAP</t>
  </si>
  <si>
    <r>
      <rPr>
        <rFont val="Arial"/>
        <color rgb="FF1155CC"/>
        <u/>
      </rPr>
      <t>https://docs.google.com/spreadsheets/d/1-0IgKS0FieBtvj44hZoiGxFFfmLaXtr1k9GzCyzw9NY/edit?gid=582638336#gid=582638336</t>
    </r>
  </si>
  <si>
    <r>
      <rPr>
        <rFont val="Arial"/>
        <color rgb="FF1155CC"/>
        <sz val="11.0"/>
        <u/>
      </rPr>
      <t>info@basechaninternational.com</t>
    </r>
  </si>
  <si>
    <r>
      <rPr>
        <rFont val="Arial"/>
        <color rgb="FF1155CC"/>
        <sz val="11.0"/>
        <u/>
      </rPr>
      <t>Basechan@2026</t>
    </r>
  </si>
  <si>
    <t>CEG</t>
  </si>
  <si>
    <t>EMP34601.1</t>
  </si>
  <si>
    <t>International@15*</t>
  </si>
  <si>
    <t>Sunderland</t>
  </si>
  <si>
    <t>N7.5</t>
  </si>
  <si>
    <r>
      <rPr>
        <rFont val="Arial"/>
        <color rgb="FF1155CC"/>
        <sz val="11.0"/>
        <u/>
      </rPr>
      <t>Feridu@2023</t>
    </r>
  </si>
  <si>
    <r>
      <rPr>
        <rFont val="Arial"/>
        <color rgb="FF1155CC"/>
        <u/>
      </rPr>
      <t>basechannigeria@gmail.com</t>
    </r>
  </si>
  <si>
    <t>Ellamendez</t>
  </si>
  <si>
    <t>no access to login</t>
  </si>
  <si>
    <t>Oasis Computer</t>
  </si>
  <si>
    <t>Aishat(sub-agent)</t>
  </si>
  <si>
    <t>Managemet</t>
  </si>
  <si>
    <t>owner</t>
  </si>
  <si>
    <r>
      <rPr>
        <rFont val="Arial"/>
        <color rgb="FF1155CC"/>
        <u/>
      </rPr>
      <t>effiong.basechaninternational@gmail.com</t>
    </r>
  </si>
  <si>
    <t>Deposit Chase</t>
  </si>
  <si>
    <r>
      <rPr>
        <rFont val="Arial"/>
        <color rgb="FF1155CC"/>
        <u/>
      </rPr>
      <t>https://docs.google.com/spreadsheets/d/133G1XFh-0ssJoZkk_LUlzarkIEOnozcmeEUMXVj0GeQ/edit?gid=0#gid=0</t>
    </r>
  </si>
  <si>
    <t>Effiong</t>
  </si>
  <si>
    <t>Basechan 01</t>
  </si>
  <si>
    <t>Book</t>
  </si>
  <si>
    <r>
      <rPr>
        <rFont val="Arial"/>
        <color rgb="FF1155CC"/>
        <u/>
      </rPr>
      <t>effiong.basechaninternational@gmail.com</t>
    </r>
  </si>
  <si>
    <t>Spreadsheets</t>
  </si>
  <si>
    <r>
      <rPr>
        <rFont val="Arial"/>
        <color rgb="FF1155CC"/>
        <u/>
      </rPr>
      <t>basechannigeria@gmail.com</t>
    </r>
  </si>
  <si>
    <r>
      <rPr>
        <rFont val="Arial"/>
        <color rgb="FF1155CC"/>
        <u/>
      </rPr>
      <t>effiong.basechaninternational@gmail.com</t>
    </r>
  </si>
  <si>
    <t>Basecha01</t>
  </si>
  <si>
    <r>
      <rPr>
        <rFont val="Arial"/>
        <color rgb="FF1155CC"/>
        <u/>
      </rPr>
      <t>effiong.basechaninternational@gmail.com</t>
    </r>
  </si>
  <si>
    <t>SI/UK</t>
  </si>
  <si>
    <r>
      <rPr>
        <rFont val="Arial"/>
        <color rgb="FF1155CC"/>
        <u/>
      </rPr>
      <t>effiong.basechaninternational@gmail.com</t>
    </r>
  </si>
  <si>
    <t>hPB3wb8cEP</t>
  </si>
  <si>
    <t>effiong.basechaninternational@gmail.com</t>
  </si>
  <si>
    <t>February12#</t>
  </si>
  <si>
    <t>NG75.8</t>
  </si>
  <si>
    <t>info@basechaninternational.com</t>
  </si>
  <si>
    <t>BASECHAN CRM</t>
  </si>
  <si>
    <r>
      <rPr>
        <rFont val="Arial"/>
        <color rgb="FF1155CC"/>
        <u/>
      </rPr>
      <t>collinsbasechan@gmail.com</t>
    </r>
  </si>
  <si>
    <t>Imuekemhe Collins</t>
  </si>
  <si>
    <t>Google Chrome</t>
  </si>
  <si>
    <r>
      <rPr>
        <rFont val="Arial"/>
        <color rgb="FF1155CC"/>
        <u/>
      </rPr>
      <t>collinsbasechan@gmail.com</t>
    </r>
  </si>
  <si>
    <t>Aa123456789*</t>
  </si>
  <si>
    <t>SI UK</t>
  </si>
  <si>
    <r>
      <rPr>
        <rFont val="Arial"/>
        <color rgb="FF1155CC"/>
        <u/>
      </rPr>
      <t>collinsbasechan@gmail.com</t>
    </r>
  </si>
  <si>
    <r>
      <rPr>
        <rFont val="Arial"/>
        <color rgb="FF1155CC"/>
        <u/>
      </rPr>
      <t>collinsbasechan@gmail.com</t>
    </r>
  </si>
  <si>
    <t>UNIVIVE</t>
  </si>
  <si>
    <t>Zaqwsxcderfv*1983</t>
  </si>
  <si>
    <t>NG75.2</t>
  </si>
  <si>
    <r>
      <rPr>
        <rFont val="Arial"/>
        <color rgb="FF1155CC"/>
        <u/>
      </rPr>
      <t>Basechan@2026</t>
    </r>
  </si>
  <si>
    <t>Gmail</t>
  </si>
  <si>
    <r>
      <rPr>
        <rFont val="Arial"/>
        <color rgb="FF1155CC"/>
        <u/>
      </rPr>
      <t>basechannigeria@gmail.com</t>
    </r>
  </si>
  <si>
    <t>Infrastructure ID</t>
  </si>
  <si>
    <t>Item Description</t>
  </si>
  <si>
    <t>Category (Furniture/Network/Peripheral)</t>
  </si>
  <si>
    <t>Room / Zone</t>
  </si>
  <si>
    <t>Quantity</t>
  </si>
  <si>
    <t>Assigned / Shared</t>
  </si>
  <si>
    <t>Maintenance Notes</t>
  </si>
  <si>
    <t>ABUJA</t>
  </si>
  <si>
    <t>Chair</t>
  </si>
  <si>
    <t>FURNITURE</t>
  </si>
  <si>
    <t>Table</t>
  </si>
  <si>
    <t>Air conditions</t>
  </si>
  <si>
    <t>HARDWARE</t>
  </si>
  <si>
    <t>Fan</t>
  </si>
  <si>
    <t>4 user workspace</t>
  </si>
  <si>
    <t>Printer</t>
  </si>
  <si>
    <t>Router</t>
  </si>
  <si>
    <t>Storage unit</t>
  </si>
  <si>
    <t>Confy chair 2</t>
  </si>
  <si>
    <t>Micro wave</t>
  </si>
  <si>
    <t>Flat screen tv</t>
  </si>
  <si>
    <t>Portable closet</t>
  </si>
  <si>
    <t>Conference room chair</t>
  </si>
  <si>
    <t>Confrence room table</t>
  </si>
  <si>
    <t>Telephone</t>
  </si>
  <si>
    <t>Framed images</t>
  </si>
  <si>
    <t>Inverter</t>
  </si>
  <si>
    <t>Water dispenser</t>
  </si>
  <si>
    <t>Kettle</t>
  </si>
  <si>
    <t>Tripod</t>
  </si>
  <si>
    <t>Camera</t>
  </si>
  <si>
    <t>Microphone</t>
  </si>
  <si>
    <t>Extension</t>
  </si>
  <si>
    <t>Stabilizer</t>
  </si>
  <si>
    <t>BENIN</t>
  </si>
  <si>
    <t>MTN 5G Router &amp; Powerbank</t>
  </si>
  <si>
    <t>MTN Fibre X</t>
  </si>
  <si>
    <t>Office tables</t>
  </si>
  <si>
    <t>Office Chairs</t>
  </si>
  <si>
    <t>Basechan Roll up banner</t>
  </si>
  <si>
    <t>three seat visitor chair</t>
  </si>
  <si>
    <t>Airtel Router</t>
  </si>
  <si>
    <t>old</t>
  </si>
  <si>
    <t>Spectranet router</t>
  </si>
  <si>
    <t>Total Physical Assets</t>
  </si>
  <si>
    <t>Physical Condition</t>
  </si>
  <si>
    <t>Count</t>
  </si>
  <si>
    <t>Location</t>
  </si>
  <si>
    <t>Total Assets</t>
  </si>
  <si>
    <t>Asset Type</t>
  </si>
  <si>
    <t>Operational Domain</t>
  </si>
  <si>
    <t>Active Workbooks</t>
  </si>
  <si>
    <t>Staff Headcount</t>
  </si>
  <si>
    <t>Hardware Assets</t>
  </si>
  <si>
    <t>Facility Assets</t>
  </si>
  <si>
    <t>Total Combined</t>
  </si>
  <si>
    <t>Total Digital Accounts</t>
  </si>
  <si>
    <t>Laptops &amp; Devices</t>
  </si>
  <si>
    <t>Marketing &amp; Lead Tracking</t>
  </si>
  <si>
    <t>Active Staff</t>
  </si>
  <si>
    <t>Office Furniture &amp; Gear</t>
  </si>
  <si>
    <t>Admissions &amp; Applications</t>
  </si>
  <si>
    <t>Assets in Repair</t>
  </si>
  <si>
    <t>Reserve Devices</t>
  </si>
  <si>
    <t>Total Enterprise Assets</t>
  </si>
  <si>
    <t>Operations &amp; Multi-Branch</t>
  </si>
  <si>
    <t>Reserve / Unassigned</t>
  </si>
  <si>
    <t>Office &amp; Facilities Assets</t>
  </si>
  <si>
    <t>faulty</t>
  </si>
  <si>
    <t>Total Enterprise</t>
  </si>
  <si>
    <t>Conversion &amp; Financials</t>
  </si>
  <si>
    <t>damaged</t>
  </si>
  <si>
    <t>Total Document Assets</t>
  </si>
  <si>
    <t>Fixed Desktop Users</t>
  </si>
  <si>
    <t>Mobile Laptop Users</t>
  </si>
  <si>
    <t>Dual-System Users</t>
  </si>
  <si>
    <t>Mobility Ratio</t>
  </si>
  <si>
    <t>need replacement</t>
  </si>
  <si>
    <t>Fixed-Only Users</t>
  </si>
  <si>
    <t>Mobile-Only Users</t>
  </si>
  <si>
    <t>Setup / Device Category</t>
  </si>
  <si>
    <t>Mobility Type</t>
  </si>
  <si>
    <t>Total Units</t>
  </si>
  <si>
    <t>Active / Assigned</t>
  </si>
  <si>
    <t>Unused / Reserve</t>
  </si>
  <si>
    <t>Utilization Rate</t>
  </si>
  <si>
    <t>Laptops (Mobile Workstations)</t>
  </si>
  <si>
    <t>Mobile</t>
  </si>
  <si>
    <t>Desktops (Fixed Workstations)</t>
  </si>
  <si>
    <t>Fixed</t>
  </si>
  <si>
    <t>Dedicated Displays &amp; Monitors</t>
  </si>
  <si>
    <t>Fixed Display</t>
  </si>
  <si>
    <t>Dedicated Keyboards</t>
  </si>
  <si>
    <t>Peripherals / Accessories</t>
  </si>
  <si>
    <t>Dedicated Computer Mice</t>
  </si>
  <si>
    <t>Total Workstation &amp; Peripheral Fleet</t>
  </si>
  <si>
    <t>All Equipment</t>
  </si>
  <si>
    <t>Basechan International - Company Equipment &amp; Tools Overview</t>
  </si>
  <si>
    <t>COMPUTERS &amp; DEVICES</t>
  </si>
  <si>
    <t>OFFICE EQUIPMENT</t>
  </si>
  <si>
    <t>TOTAL COMPANY ITEMS</t>
  </si>
  <si>
    <t>ONLINE ACCOUNTS</t>
  </si>
  <si>
    <t>DAILY SPREADSHEETS</t>
  </si>
  <si>
    <t>ACTIVE TEAM MEMBERS</t>
  </si>
  <si>
    <t>Laptops, screens &amp; phones</t>
  </si>
  <si>
    <t>Furniture &amp; office gear</t>
  </si>
  <si>
    <t>All physical equipment</t>
  </si>
  <si>
    <t>Software &amp; app logins</t>
  </si>
  <si>
    <t>Forms, records &amp; files</t>
  </si>
  <si>
    <t>Staff across both offices</t>
  </si>
  <si>
    <t>DEVICES &amp; EQUIPMENT BY TEAM</t>
  </si>
  <si>
    <t>OFFICE FURNITURE &amp; EQUIPMENT BREAKDOWN</t>
  </si>
  <si>
    <t>Team / Department</t>
  </si>
  <si>
    <t>Devices</t>
  </si>
  <si>
    <t>Working Order</t>
  </si>
  <si>
    <t>Staff Names</t>
  </si>
  <si>
    <t>Office Location</t>
  </si>
  <si>
    <t>% of Devices</t>
  </si>
  <si>
    <t>% of All Items</t>
  </si>
  <si>
    <t>Item Category</t>
  </si>
  <si>
    <t>Total Count</t>
  </si>
  <si>
    <t>Abuja Office</t>
  </si>
  <si>
    <t>Benin Office</t>
  </si>
  <si>
    <t>Working Status</t>
  </si>
  <si>
    <t>% of Office Items</t>
  </si>
  <si>
    <t>Working / In Use</t>
  </si>
  <si>
    <t>Izunyon Blessing, Jumai, Effiong</t>
  </si>
  <si>
    <t>Abuja / Benin</t>
  </si>
  <si>
    <t>Peter Abah, Feridu Yakubu</t>
  </si>
  <si>
    <t>Total Office Items</t>
  </si>
  <si>
    <t>All Items in Use</t>
  </si>
  <si>
    <t>Benin City</t>
  </si>
  <si>
    <t>Office Split by Location</t>
  </si>
  <si>
    <t>89.7% Abuja / 10.3% Benin</t>
  </si>
  <si>
    <t>Condition &amp; Repairs</t>
  </si>
  <si>
    <t>Good Condition / Working</t>
  </si>
  <si>
    <t>-</t>
  </si>
  <si>
    <t>Checked</t>
  </si>
  <si>
    <t>Inventory Check Status</t>
  </si>
  <si>
    <t>100% Checked</t>
  </si>
  <si>
    <t>Current</t>
  </si>
  <si>
    <t>Total Team Devices</t>
  </si>
  <si>
    <t>9 Active Team Members</t>
  </si>
  <si>
    <t>Office Locations Covered</t>
  </si>
  <si>
    <t>2 Active Offices</t>
  </si>
  <si>
    <t>All Offices</t>
  </si>
  <si>
    <t>Office Furniture &amp; Shared Gear</t>
  </si>
  <si>
    <t>Shared Office Items</t>
  </si>
  <si>
    <t>Abuja &amp; Benin Branches</t>
  </si>
  <si>
    <t>Total Office Inventory</t>
  </si>
  <si>
    <t>In Use Across Offices</t>
  </si>
  <si>
    <t>Total Company Equipment</t>
  </si>
  <si>
    <t>9 Team Members &amp; Shared Items</t>
  </si>
  <si>
    <t>All Operating Locations</t>
  </si>
  <si>
    <t>DAILY WORKBOOKS &amp; SPREADSHEETS</t>
  </si>
  <si>
    <t>STAFF &amp; EQUIPMENT BY OFFICE</t>
  </si>
  <si>
    <t>Work Category</t>
  </si>
  <si>
    <t>Main Purpose</t>
  </si>
  <si>
    <t>Example Files</t>
  </si>
  <si>
    <t>Lead Person</t>
  </si>
  <si>
    <t>% of Files</t>
  </si>
  <si>
    <t>Access Level</t>
  </si>
  <si>
    <t>Office Furniture</t>
  </si>
  <si>
    <t>Computers &amp; Devices</t>
  </si>
  <si>
    <t>Total Items</t>
  </si>
  <si>
    <t>Main Activities</t>
  </si>
  <si>
    <t>Office Status</t>
  </si>
  <si>
    <t>Sales &amp; Leads Tracking</t>
  </si>
  <si>
    <t>Customer inquiries &amp; lead tracking</t>
  </si>
  <si>
    <t>Team Leads, Agent Leads, Status Report</t>
  </si>
  <si>
    <t>Marketing Team</t>
  </si>
  <si>
    <t>Active in Cloud</t>
  </si>
  <si>
    <t>Management, Sales &amp; Tech</t>
  </si>
  <si>
    <t>Main Office (Active)</t>
  </si>
  <si>
    <t>Student Applications</t>
  </si>
  <si>
    <t>Student signups &amp; school partners</t>
  </si>
  <si>
    <t>Admissions Responses, Crizac, Reports</t>
  </si>
  <si>
    <t>Admissions Team</t>
  </si>
  <si>
    <t>Student Counseling &amp; Applications</t>
  </si>
  <si>
    <t>Branch Office (Active)</t>
  </si>
  <si>
    <t>General Operations</t>
  </si>
  <si>
    <t>Company-wide coordination</t>
  </si>
  <si>
    <t>2026 Mid Year, Referral, Branch Spreadsheets</t>
  </si>
  <si>
    <t>Main Office Team</t>
  </si>
  <si>
    <t>Internal Staff Only</t>
  </si>
  <si>
    <t>Total Company Footprint</t>
  </si>
  <si>
    <t>All Active Offices</t>
  </si>
  <si>
    <t>Company Total</t>
  </si>
  <si>
    <t>Finance &amp; Payments</t>
  </si>
  <si>
    <t>Bank deposits &amp; payment tracking</t>
  </si>
  <si>
    <t>ALL DEPOSITS, Deposit Spreadsheet</t>
  </si>
  <si>
    <t>Finance Team Only</t>
  </si>
  <si>
    <t>Computer Distribution</t>
  </si>
  <si>
    <t>85.0% Abuja / 15.0% Benin</t>
  </si>
  <si>
    <t>Total Devices</t>
  </si>
  <si>
    <t>Saved Account Logins</t>
  </si>
  <si>
    <t>Staff login details &amp; passwords</t>
  </si>
  <si>
    <t>Jumai Staff Application &amp; CRM Credentials</t>
  </si>
  <si>
    <t>IT &amp; Staff</t>
  </si>
  <si>
    <t>Secured</t>
  </si>
  <si>
    <t>Furniture &amp; Office Gear Distribution</t>
  </si>
  <si>
    <t>Total Work Spreadsheets</t>
  </si>
  <si>
    <t>All active work files</t>
  </si>
  <si>
    <t>Tracked Spreadsheets &amp; Forms</t>
  </si>
  <si>
    <t>Basechan Team</t>
  </si>
  <si>
    <t>Fully Verified</t>
  </si>
  <si>
    <t>Staff by Office</t>
  </si>
  <si>
    <t>66.7% Abuja / 33.3% Benin</t>
  </si>
  <si>
    <t>Total Staff</t>
  </si>
  <si>
    <t>Cloud Storage &amp; Backup</t>
  </si>
  <si>
    <t>Saved in Google Drive</t>
  </si>
  <si>
    <t>Last Checked: Sept 2026</t>
  </si>
  <si>
    <t>Tech Team</t>
  </si>
  <si>
    <t>Up to Date</t>
  </si>
  <si>
    <t>All Offices Summary</t>
  </si>
  <si>
    <t>Both Offices Connected</t>
  </si>
  <si>
    <t>All Verified</t>
  </si>
  <si>
    <t>BRANCH SYSTEM USAGE &amp; MOBILITY (FIXED VS MOBILE)</t>
  </si>
  <si>
    <t>UPDATED COMPUTER FLEET &amp; WORKSTATION SETUP</t>
  </si>
  <si>
    <t>Branch / Office</t>
  </si>
  <si>
    <t>Staff Count</t>
  </si>
  <si>
    <t>% Mobile Staff</t>
  </si>
  <si>
    <t>Mobility Profile</t>
  </si>
  <si>
    <t>Hardware / Setup Category</t>
  </si>
  <si>
    <t>Total Fleet</t>
  </si>
  <si>
    <t>Active in Use</t>
  </si>
  <si>
    <t>In Reserve</t>
  </si>
  <si>
    <t>Deployment Locations</t>
  </si>
  <si>
    <t>Fleet Utilization</t>
  </si>
  <si>
    <t>Operational Status &amp; Notes</t>
  </si>
  <si>
    <t>Abuja Head Office</t>
  </si>
  <si>
    <t>Predominantly Fixed Workstations (83.3% Fixed)</t>
  </si>
  <si>
    <t>Mobile Laptops (HP &amp; Acer)</t>
  </si>
  <si>
    <t>Abuja (2) / Benin (3)</t>
  </si>
  <si>
    <t>5 Active Staff + 2 Reserve Laptops in Stock</t>
  </si>
  <si>
    <t>Benin City Branch</t>
  </si>
  <si>
    <t>100% Mobile Fleet (Laptops Only)</t>
  </si>
  <si>
    <t>Fixed Desktop Workstations</t>
  </si>
  <si>
    <t>Abuja Head Office (5)</t>
  </si>
  <si>
    <t>Peter, Cletus, Jumai, Effiong, Collins</t>
  </si>
  <si>
    <t>Total Enterprise Staff</t>
  </si>
  <si>
    <t>Hybrid Operating Model</t>
  </si>
  <si>
    <t>Abuja Head Office (5) / Reserve (4)</t>
  </si>
  <si>
    <t>5 Active Users + 4 Reserve Monitors in Stock</t>
  </si>
  <si>
    <t>Dual-System Setup (Effiong O.)</t>
  </si>
  <si>
    <t>Uses HP Desktop + HP Laptop (Applications)</t>
  </si>
  <si>
    <t>5 Active Users + 4 Reserve Keyboards in Stock</t>
  </si>
  <si>
    <t>Exclusively Fixed Staff</t>
  </si>
  <si>
    <t>Peter, Cletus, Jumai, Imuekemhe (Abuja)</t>
  </si>
  <si>
    <t>Abuja Head Office (5) / Reserve (3)</t>
  </si>
  <si>
    <t>5 Active Users + 3 Reserve Mice in Stock</t>
  </si>
  <si>
    <t>Exclusively Mobile Staff</t>
  </si>
  <si>
    <t>Johnmary (Abuja), Izunyon, Oge, Feridu (Benin)</t>
  </si>
  <si>
    <t>25 Assets In Use, 13 Reserve Inventory</t>
  </si>
  <si>
    <t>Enterprise Mobility Ratio</t>
  </si>
  <si>
    <t>5 Desktop Users</t>
  </si>
  <si>
    <t>5 Laptop Users</t>
  </si>
  <si>
    <t>1 Dual User</t>
  </si>
  <si>
    <t>55.6% Staff Mobility Rate</t>
  </si>
  <si>
    <t>Dual Station: Effiong Oyonumo</t>
  </si>
  <si>
    <t>Abuja Branch (Applications)</t>
  </si>
  <si>
    <t>Dual Setup: HP Desktop + HP Laptop Assigned</t>
  </si>
  <si>
    <t>Workstation Peripheral Standard</t>
  </si>
  <si>
    <t>9 Keyboards</t>
  </si>
  <si>
    <t>9 Mice</t>
  </si>
  <si>
    <t>100% Provisioned</t>
  </si>
  <si>
    <t>All 9 Staff Equipped with Keyboard &amp; Mouse</t>
  </si>
  <si>
    <t>Active Computer Deployment Rate</t>
  </si>
  <si>
    <t>Abuja (7) / Benin (3) / Reserve (2)</t>
  </si>
  <si>
    <t>10 Assigned Computers (5 Desktops + 5 Laptops)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</si>
</sst>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-mmm-yy"/>
    <numFmt numFmtId="166" formatCode="mmm-d"/>
    <numFmt numFmtId="167" formatCode="dd/mm/yyyy"/>
    <numFmt numFmtId="168" formatCode="0.0%"/>
  </numFmts>
  <fonts count="38">
    <font>
      <sz val="10.0"/>
      <color rgb="FF000000"/>
      <name val="Arial"/>
      <scheme val="minor"/>
    </font>
    <font>
      <b/>
      <sz val="10.0"/>
      <color rgb="FFFFFFFF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</font>
    <font>
      <u/>
      <sz val="10.0"/>
      <color theme="1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00"/>
      <name val="Arial"/>
    </font>
    <font>
      <sz val="8.0"/>
      <color rgb="FF0A0A0A"/>
      <name val="Roboto"/>
    </font>
    <font>
      <u/>
      <sz val="11.0"/>
      <color rgb="FF0000FF"/>
      <name val="Arial"/>
    </font>
    <font>
      <color theme="1"/>
      <name val="Arial"/>
    </font>
    <font>
      <u/>
      <color rgb="FF000000"/>
      <name val="Arial"/>
    </font>
    <font>
      <sz val="11.0"/>
      <color rgb="FF000000"/>
      <name val="Calibri"/>
    </font>
    <font>
      <sz val="12.0"/>
      <color rgb="FF000000"/>
      <name val="Calibri"/>
    </font>
    <font>
      <b/>
      <color theme="1"/>
      <name val="Arial"/>
      <scheme val="minor"/>
    </font>
    <font>
      <b/>
      <sz val="10.0"/>
      <color theme="1"/>
      <name val="Google Sans"/>
    </font>
    <font>
      <sz val="10.0"/>
      <color theme="1"/>
      <name val="Roboto"/>
    </font>
    <font>
      <b/>
      <sz val="16.0"/>
      <color rgb="FFFFFFFF"/>
      <name val="Google Sans"/>
    </font>
    <font>
      <b/>
      <u/>
      <sz val="9.0"/>
      <color rgb="FF495F79"/>
      <name val="Google Sans"/>
    </font>
    <font/>
    <font>
      <b/>
      <sz val="9.0"/>
      <color rgb="FF495F79"/>
      <name val="Google Sans"/>
    </font>
    <font>
      <b/>
      <sz val="20.0"/>
      <color rgb="FF0E2941"/>
      <name val="Google Sans"/>
    </font>
    <font>
      <sz val="9.0"/>
      <color rgb="FF596B82"/>
      <name val="Roboto"/>
    </font>
    <font>
      <b/>
      <sz val="10.0"/>
      <color rgb="FFFFFFFF"/>
      <name val="Google Sans"/>
    </font>
    <font>
      <b/>
      <sz val="9.0"/>
      <color rgb="FF1E283A"/>
      <name val="Google Sans"/>
    </font>
    <font>
      <sz val="9.0"/>
      <color rgb="FF191919"/>
      <name val="Google Sans"/>
    </font>
    <font>
      <b/>
      <sz val="10.0"/>
      <color rgb="FF0F2844"/>
      <name val="Google Sans"/>
    </font>
    <font>
      <b/>
      <sz val="9.0"/>
      <color rgb="FF19263F"/>
      <name val="Google Sans"/>
    </font>
    <font>
      <b/>
      <sz val="9.0"/>
      <color rgb="FFFFFFFF"/>
      <name val="Google Sans"/>
    </font>
    <font>
      <u/>
      <sz val="9.0"/>
      <color rgb="FF191919"/>
      <name val="Roboto"/>
    </font>
    <font>
      <sz val="9.0"/>
      <color rgb="FF191919"/>
      <name val="Roboto"/>
    </font>
    <font>
      <u/>
      <sz val="9.0"/>
      <color rgb="FF191919"/>
      <name val="Roboto"/>
    </font>
    <font>
      <b/>
      <sz val="9.0"/>
      <color theme="1"/>
      <name val="Google Sans"/>
    </font>
    <font>
      <u/>
      <sz val="9.0"/>
      <color rgb="FF191919"/>
      <name val="Roboto"/>
    </font>
    <font>
      <sz val="9.0"/>
      <color theme="1"/>
      <name val="Roboto"/>
    </font>
    <font>
      <b/>
      <sz val="9.0"/>
      <color rgb="FF191919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424242"/>
        <bgColor rgb="FF424242"/>
      </patternFill>
    </fill>
    <fill>
      <patternFill patternType="solid">
        <fgColor rgb="FFEDEFF4"/>
        <bgColor rgb="FFEDEFF4"/>
      </patternFill>
    </fill>
    <fill>
      <patternFill patternType="solid">
        <fgColor rgb="FFF9F9FF"/>
        <bgColor rgb="FFF9F9FF"/>
      </patternFill>
    </fill>
    <fill>
      <patternFill patternType="solid">
        <fgColor rgb="FF0E2941"/>
        <bgColor rgb="FF0E2941"/>
      </patternFill>
    </fill>
    <fill>
      <patternFill patternType="solid">
        <fgColor rgb="FFF4F7FA"/>
        <bgColor rgb="FFF4F7FA"/>
      </patternFill>
    </fill>
    <fill>
      <patternFill patternType="solid">
        <fgColor rgb="FFFFFFFF"/>
        <bgColor rgb="FFFFFFFF"/>
      </patternFill>
    </fill>
    <fill>
      <patternFill patternType="solid">
        <fgColor rgb="FF1E395F"/>
        <bgColor rgb="FF1E395F"/>
      </patternFill>
    </fill>
    <fill>
      <patternFill patternType="solid">
        <fgColor rgb="FFF7F9FB"/>
        <bgColor rgb="FFF7F9FB"/>
      </patternFill>
    </fill>
    <fill>
      <patternFill patternType="solid">
        <fgColor rgb="FFEDF1F6"/>
        <bgColor rgb="FFEDF1F6"/>
      </patternFill>
    </fill>
    <fill>
      <patternFill patternType="solid">
        <fgColor rgb="FFE1E8EF"/>
        <bgColor rgb="FFE1E8EF"/>
      </patternFill>
    </fill>
    <fill>
      <patternFill patternType="solid">
        <fgColor rgb="FFF1F5F9"/>
        <bgColor rgb="FFF1F5F9"/>
      </patternFill>
    </fill>
  </fills>
  <borders count="3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</border>
    <border>
      <left/>
      <top/>
      <bottom/>
    </border>
    <border>
      <left style="thin">
        <color rgb="FFCAD4E0"/>
      </left>
      <top style="thin">
        <color rgb="FFCAD4E0"/>
      </top>
      <bottom/>
    </border>
    <border>
      <right style="thin">
        <color rgb="FFCAD4E0"/>
      </right>
      <top style="thin">
        <color rgb="FFCAD4E0"/>
      </top>
      <bottom/>
    </border>
    <border>
      <top style="thin">
        <color rgb="FFCAD4E0"/>
      </top>
      <bottom/>
    </border>
    <border>
      <top style="thin">
        <color rgb="FFCCD6E0"/>
      </top>
      <bottom/>
    </border>
    <border>
      <right/>
      <top/>
      <bottom/>
    </border>
    <border>
      <left style="thin">
        <color rgb="FFCAD4E0"/>
      </left>
      <top/>
      <bottom/>
    </border>
    <border>
      <right style="thin">
        <color rgb="FFCAD4E0"/>
      </right>
      <top/>
      <bottom/>
    </border>
    <border>
      <top/>
      <bottom/>
    </border>
    <border>
      <left style="thin">
        <color rgb="FFCAD4E0"/>
      </left>
      <top/>
      <bottom style="thin">
        <color rgb="FFCAD4E0"/>
      </bottom>
    </border>
    <border>
      <right style="thin">
        <color rgb="FFCAD4E0"/>
      </right>
      <top/>
      <bottom style="thin">
        <color rgb="FFCAD4E0"/>
      </bottom>
    </border>
    <border>
      <top/>
      <bottom style="thin">
        <color rgb="FFCAD4E0"/>
      </bottom>
    </border>
    <border>
      <top/>
      <bottom style="thin">
        <color rgb="FFCCD6E0"/>
      </bottom>
    </border>
    <border>
      <left/>
      <right/>
      <bottom/>
    </border>
    <border>
      <left style="thin">
        <color rgb="FFCAD4E0"/>
      </left>
      <top style="thin">
        <color rgb="FFCAD4E0"/>
      </top>
      <bottom style="thin">
        <color rgb="FFE1E8EF"/>
      </bottom>
    </border>
    <border>
      <top style="thin">
        <color rgb="FFCAD4E0"/>
      </top>
      <bottom style="thin">
        <color rgb="FFE1E8EF"/>
      </bottom>
    </border>
    <border>
      <right style="thin">
        <color rgb="FFCAD4E0"/>
      </right>
      <top style="thin">
        <color rgb="FFCAD4E0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medium">
        <color rgb="FF1E395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5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medium">
        <color rgb="FF1E395F"/>
      </bottom>
    </border>
    <border>
      <left/>
      <right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vertical="bottom"/>
    </xf>
    <xf borderId="3" fillId="0" fontId="4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3" numFmtId="167" xfId="0" applyAlignment="1" applyFont="1" applyNumberFormat="1">
      <alignment readingOrder="0" shrinkToFit="0" vertical="bottom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2" numFmtId="168" xfId="0" applyAlignment="1" applyFont="1" applyNumberFormat="1">
      <alignment horizontal="right" readingOrder="0"/>
    </xf>
    <xf borderId="0" fillId="0" fontId="2" numFmtId="3" xfId="0" applyAlignment="1" applyFont="1" applyNumberFormat="1">
      <alignment horizontal="right"/>
    </xf>
    <xf borderId="0" fillId="0" fontId="2" numFmtId="3" xfId="0" applyAlignment="1" applyFont="1" applyNumberFormat="1">
      <alignment horizontal="right" readingOrder="0"/>
    </xf>
    <xf borderId="0" fillId="0" fontId="2" numFmtId="168" xfId="0" applyAlignment="1" applyFont="1" applyNumberFormat="1">
      <alignment horizontal="right"/>
    </xf>
    <xf borderId="0" fillId="4" fontId="17" numFmtId="0" xfId="0" applyAlignment="1" applyFill="1" applyFont="1">
      <alignment readingOrder="0"/>
    </xf>
    <xf borderId="0" fillId="4" fontId="17" numFmtId="3" xfId="0" applyAlignment="1" applyFill="1" applyFont="1" applyNumberFormat="1">
      <alignment horizontal="right" readingOrder="0"/>
    </xf>
    <xf borderId="0" fillId="4" fontId="17" numFmtId="3" xfId="0" applyAlignment="1" applyFill="1" applyFont="1" applyNumberFormat="1">
      <alignment horizontal="right"/>
    </xf>
    <xf borderId="0" fillId="4" fontId="17" numFmtId="168" xfId="0" applyAlignment="1" applyFill="1" applyFont="1" applyNumberFormat="1">
      <alignment horizontal="right"/>
    </xf>
    <xf borderId="0" fillId="0" fontId="16" numFmtId="3" xfId="0" applyFont="1" applyNumberFormat="1"/>
    <xf borderId="0" fillId="0" fontId="16" numFmtId="168" xfId="0" applyFont="1" applyNumberFormat="1"/>
    <xf borderId="1" fillId="5" fontId="18" numFmtId="0" xfId="0" applyBorder="1" applyFill="1" applyFont="1"/>
    <xf borderId="0" fillId="6" fontId="19" numFmtId="0" xfId="0" applyAlignment="1" applyFill="1" applyFont="1">
      <alignment horizontal="center" readingOrder="0" vertical="center"/>
    </xf>
    <xf borderId="4" fillId="5" fontId="18" numFmtId="0" xfId="0" applyBorder="1" applyFill="1" applyFont="1"/>
    <xf borderId="5" fillId="5" fontId="18" numFmtId="0" xfId="0" applyBorder="1" applyFill="1" applyFont="1"/>
    <xf borderId="6" fillId="7" fontId="20" numFmtId="0" xfId="0" applyAlignment="1" applyBorder="1" applyFill="1" applyFont="1">
      <alignment horizontal="center" readingOrder="0" vertical="center"/>
    </xf>
    <xf borderId="7" fillId="0" fontId="21" numFmtId="0" xfId="0" applyBorder="1" applyFont="1"/>
    <xf borderId="8" fillId="0" fontId="21" numFmtId="0" xfId="0" applyBorder="1" applyFont="1"/>
    <xf borderId="9" fillId="7" fontId="22" numFmtId="0" xfId="0" applyAlignment="1" applyBorder="1" applyFill="1" applyFont="1">
      <alignment horizontal="center" readingOrder="0" vertical="center"/>
    </xf>
    <xf borderId="10" fillId="5" fontId="18" numFmtId="0" xfId="0" applyBorder="1" applyFill="1" applyFont="1"/>
    <xf borderId="11" fillId="7" fontId="23" numFmtId="3" xfId="0" applyAlignment="1" applyBorder="1" applyFill="1" applyFont="1" applyNumberFormat="1">
      <alignment horizontal="center" vertical="center"/>
    </xf>
    <xf borderId="12" fillId="0" fontId="21" numFmtId="0" xfId="0" applyBorder="1" applyFont="1"/>
    <xf borderId="13" fillId="0" fontId="21" numFmtId="0" xfId="0" applyBorder="1" applyFont="1"/>
    <xf borderId="13" fillId="7" fontId="23" numFmtId="3" xfId="0" applyAlignment="1" applyBorder="1" applyFill="1" applyFont="1" applyNumberFormat="1">
      <alignment horizontal="center" vertical="center"/>
    </xf>
    <xf borderId="14" fillId="7" fontId="24" numFmtId="0" xfId="0" applyAlignment="1" applyBorder="1" applyFill="1" applyFont="1">
      <alignment horizontal="center" readingOrder="0" vertical="center"/>
    </xf>
    <xf borderId="15" fillId="0" fontId="21" numFmtId="0" xfId="0" applyBorder="1" applyFont="1"/>
    <xf borderId="16" fillId="0" fontId="21" numFmtId="0" xfId="0" applyBorder="1" applyFont="1"/>
    <xf borderId="17" fillId="7" fontId="24" numFmtId="0" xfId="0" applyAlignment="1" applyBorder="1" applyFill="1" applyFont="1">
      <alignment horizontal="center" readingOrder="0" vertical="center"/>
    </xf>
    <xf borderId="18" fillId="5" fontId="18" numFmtId="0" xfId="0" applyBorder="1" applyFill="1" applyFont="1"/>
    <xf borderId="0" fillId="8" fontId="25" numFmtId="0" xfId="0" applyAlignment="1" applyFill="1" applyFont="1">
      <alignment horizontal="center" readingOrder="0" vertical="center"/>
    </xf>
    <xf borderId="0" fillId="8" fontId="2" numFmtId="0" xfId="0" applyFill="1" applyFont="1"/>
    <xf borderId="0" fillId="8" fontId="26" numFmtId="0" xfId="0" applyAlignment="1" applyFill="1" applyFont="1">
      <alignment horizontal="left" readingOrder="0" vertical="center"/>
    </xf>
    <xf borderId="0" fillId="8" fontId="26" numFmtId="0" xfId="0" applyAlignment="1" applyFill="1" applyFont="1">
      <alignment readingOrder="0" vertical="center"/>
    </xf>
    <xf borderId="0" fillId="8" fontId="27" numFmtId="0" xfId="0" applyAlignment="1" applyFill="1" applyFont="1">
      <alignment horizontal="left" readingOrder="0" vertical="center"/>
    </xf>
    <xf borderId="0" fillId="8" fontId="27" numFmtId="3" xfId="0" applyAlignment="1" applyFill="1" applyFont="1" applyNumberFormat="1">
      <alignment horizontal="center" readingOrder="0" vertical="center"/>
    </xf>
    <xf borderId="0" fillId="8" fontId="27" numFmtId="168" xfId="0" applyAlignment="1" applyFill="1" applyFont="1" applyNumberFormat="1">
      <alignment horizontal="right" vertical="center"/>
    </xf>
    <xf borderId="0" fillId="8" fontId="28" numFmtId="0" xfId="0" applyAlignment="1" applyFill="1" applyFont="1">
      <alignment horizontal="left" readingOrder="0" vertical="center"/>
    </xf>
    <xf borderId="0" fillId="8" fontId="28" numFmtId="3" xfId="0" applyAlignment="1" applyFill="1" applyFont="1" applyNumberFormat="1">
      <alignment horizontal="center" vertical="center"/>
    </xf>
    <xf borderId="0" fillId="8" fontId="28" numFmtId="168" xfId="0" applyAlignment="1" applyFill="1" applyFont="1" applyNumberFormat="1">
      <alignment horizontal="right" vertical="center"/>
    </xf>
    <xf borderId="0" fillId="8" fontId="29" numFmtId="0" xfId="0" applyAlignment="1" applyFill="1" applyFont="1">
      <alignment horizontal="left" readingOrder="0" vertical="center"/>
    </xf>
    <xf borderId="0" fillId="8" fontId="29" numFmtId="3" xfId="0" applyAlignment="1" applyFill="1" applyFont="1" applyNumberFormat="1">
      <alignment horizontal="center" vertical="center"/>
    </xf>
    <xf borderId="0" fillId="8" fontId="29" numFmtId="168" xfId="0" applyAlignment="1" applyFill="1" applyFont="1" applyNumberFormat="1">
      <alignment horizontal="right" vertical="center"/>
    </xf>
    <xf borderId="0" fillId="8" fontId="29" numFmtId="168" xfId="0" applyAlignment="1" applyFill="1" applyFont="1" applyNumberFormat="1">
      <alignment horizontal="right" readingOrder="0" vertical="center"/>
    </xf>
    <xf borderId="0" fillId="8" fontId="27" numFmtId="3" xfId="0" applyAlignment="1" applyFill="1" applyFont="1" applyNumberFormat="1">
      <alignment horizontal="center" vertical="center"/>
    </xf>
    <xf borderId="0" fillId="8" fontId="27" numFmtId="0" xfId="0" applyAlignment="1" applyFill="1" applyFont="1">
      <alignment horizontal="center" readingOrder="0" vertical="center"/>
    </xf>
    <xf borderId="0" fillId="8" fontId="28" numFmtId="168" xfId="0" applyAlignment="1" applyFill="1" applyFont="1" applyNumberFormat="1">
      <alignment horizontal="right" readingOrder="0" vertical="center"/>
    </xf>
    <xf borderId="0" fillId="8" fontId="28" numFmtId="0" xfId="0" applyAlignment="1" applyFill="1" applyFont="1">
      <alignment horizontal="center" readingOrder="0" vertical="center"/>
    </xf>
    <xf borderId="19" fillId="6" fontId="25" numFmtId="0" xfId="0" applyAlignment="1" applyBorder="1" applyFill="1" applyFont="1">
      <alignment horizontal="center" readingOrder="0" shrinkToFit="0" vertical="center" wrapText="1"/>
    </xf>
    <xf borderId="20" fillId="0" fontId="21" numFmtId="0" xfId="0" applyBorder="1" applyFont="1"/>
    <xf borderId="21" fillId="0" fontId="21" numFmtId="0" xfId="0" applyBorder="1" applyFont="1"/>
    <xf borderId="0" fillId="0" fontId="2" numFmtId="0" xfId="0" applyAlignment="1" applyFont="1">
      <alignment shrinkToFit="0" wrapText="1"/>
    </xf>
    <xf borderId="22" fillId="9" fontId="30" numFmtId="0" xfId="0" applyAlignment="1" applyBorder="1" applyFill="1" applyFont="1">
      <alignment readingOrder="0" shrinkToFit="0" vertical="center" wrapText="1"/>
    </xf>
    <xf borderId="23" fillId="9" fontId="30" numFmtId="0" xfId="0" applyAlignment="1" applyBorder="1" applyFill="1" applyFont="1">
      <alignment readingOrder="0" shrinkToFit="0" vertical="center" wrapText="1"/>
    </xf>
    <xf borderId="24" fillId="9" fontId="30" numFmtId="0" xfId="0" applyAlignment="1" applyBorder="1" applyFill="1" applyFont="1">
      <alignment readingOrder="0" shrinkToFit="0" vertical="center" wrapText="1"/>
    </xf>
    <xf borderId="22" fillId="0" fontId="31" numFmtId="0" xfId="0" applyAlignment="1" applyBorder="1" applyFont="1">
      <alignment readingOrder="0" shrinkToFit="0" vertical="center" wrapText="1"/>
    </xf>
    <xf borderId="23" fillId="0" fontId="32" numFmtId="3" xfId="0" applyAlignment="1" applyBorder="1" applyFont="1" applyNumberFormat="1">
      <alignment horizontal="right" readingOrder="0" shrinkToFit="0" vertical="center" wrapText="1"/>
    </xf>
    <xf borderId="23" fillId="0" fontId="32" numFmtId="0" xfId="0" applyAlignment="1" applyBorder="1" applyFont="1">
      <alignment readingOrder="0" shrinkToFit="0" vertical="center" wrapText="1"/>
    </xf>
    <xf borderId="23" fillId="0" fontId="32" numFmtId="168" xfId="0" applyAlignment="1" applyBorder="1" applyFont="1" applyNumberFormat="1">
      <alignment horizontal="right" shrinkToFit="0" vertical="center" wrapText="1"/>
    </xf>
    <xf borderId="24" fillId="0" fontId="32" numFmtId="168" xfId="0" applyAlignment="1" applyBorder="1" applyFont="1" applyNumberFormat="1">
      <alignment horizontal="right" shrinkToFit="0" vertical="center" wrapText="1"/>
    </xf>
    <xf borderId="22" fillId="10" fontId="33" numFmtId="0" xfId="0" applyAlignment="1" applyBorder="1" applyFill="1" applyFont="1">
      <alignment readingOrder="0" shrinkToFit="0" vertical="center" wrapText="1"/>
    </xf>
    <xf borderId="23" fillId="10" fontId="32" numFmtId="3" xfId="0" applyAlignment="1" applyBorder="1" applyFill="1" applyFont="1" applyNumberFormat="1">
      <alignment horizontal="right" readingOrder="0" shrinkToFit="0" vertical="center" wrapText="1"/>
    </xf>
    <xf borderId="23" fillId="10" fontId="32" numFmtId="0" xfId="0" applyAlignment="1" applyBorder="1" applyFill="1" applyFont="1">
      <alignment readingOrder="0" shrinkToFit="0" vertical="center" wrapText="1"/>
    </xf>
    <xf borderId="23" fillId="10" fontId="32" numFmtId="168" xfId="0" applyAlignment="1" applyBorder="1" applyFill="1" applyFont="1" applyNumberFormat="1">
      <alignment horizontal="right" shrinkToFit="0" vertical="center" wrapText="1"/>
    </xf>
    <xf borderId="24" fillId="10" fontId="32" numFmtId="168" xfId="0" applyAlignment="1" applyBorder="1" applyFill="1" applyFont="1" applyNumberFormat="1">
      <alignment horizontal="right" shrinkToFit="0" vertical="center" wrapText="1"/>
    </xf>
    <xf borderId="22" fillId="11" fontId="34" numFmtId="0" xfId="0" applyAlignment="1" applyBorder="1" applyFill="1" applyFont="1">
      <alignment readingOrder="0" shrinkToFit="0" vertical="center" wrapText="1"/>
    </xf>
    <xf borderId="23" fillId="11" fontId="34" numFmtId="3" xfId="0" applyAlignment="1" applyBorder="1" applyFill="1" applyFont="1" applyNumberFormat="1">
      <alignment horizontal="right" shrinkToFit="0" vertical="center" wrapText="1"/>
    </xf>
    <xf borderId="23" fillId="11" fontId="34" numFmtId="0" xfId="0" applyAlignment="1" applyBorder="1" applyFill="1" applyFont="1">
      <alignment readingOrder="0" shrinkToFit="0" vertical="center" wrapText="1"/>
    </xf>
    <xf borderId="23" fillId="11" fontId="34" numFmtId="168" xfId="0" applyAlignment="1" applyBorder="1" applyFill="1" applyFont="1" applyNumberFormat="1">
      <alignment horizontal="right" shrinkToFit="0" vertical="center" wrapText="1"/>
    </xf>
    <xf borderId="24" fillId="11" fontId="34" numFmtId="168" xfId="0" applyAlignment="1" applyBorder="1" applyFill="1" applyFont="1" applyNumberFormat="1">
      <alignment horizontal="right" shrinkToFit="0" vertical="center" wrapText="1"/>
    </xf>
    <xf borderId="22" fillId="0" fontId="32" numFmtId="0" xfId="0" applyAlignment="1" applyBorder="1" applyFont="1">
      <alignment readingOrder="0" shrinkToFit="0" vertical="center" wrapText="1"/>
    </xf>
    <xf borderId="23" fillId="0" fontId="32" numFmtId="168" xfId="0" applyAlignment="1" applyBorder="1" applyFont="1" applyNumberFormat="1">
      <alignment horizontal="right" readingOrder="0" shrinkToFit="0" vertical="center" wrapText="1"/>
    </xf>
    <xf borderId="22" fillId="10" fontId="32" numFmtId="0" xfId="0" applyAlignment="1" applyBorder="1" applyFill="1" applyFont="1">
      <alignment readingOrder="0" shrinkToFit="0" vertical="center" wrapText="1"/>
    </xf>
    <xf borderId="23" fillId="10" fontId="32" numFmtId="168" xfId="0" applyAlignment="1" applyBorder="1" applyFill="1" applyFont="1" applyNumberFormat="1">
      <alignment horizontal="right" readingOrder="0" shrinkToFit="0" vertical="center" wrapText="1"/>
    </xf>
    <xf borderId="24" fillId="10" fontId="32" numFmtId="0" xfId="0" applyAlignment="1" applyBorder="1" applyFill="1" applyFont="1">
      <alignment horizontal="right" readingOrder="0" shrinkToFit="0" vertical="center" wrapText="1"/>
    </xf>
    <xf borderId="22" fillId="8" fontId="35" numFmtId="0" xfId="0" applyAlignment="1" applyBorder="1" applyFill="1" applyFont="1">
      <alignment readingOrder="0" shrinkToFit="0" vertical="center" wrapText="1"/>
    </xf>
    <xf borderId="22" fillId="8" fontId="32" numFmtId="3" xfId="0" applyAlignment="1" applyBorder="1" applyFill="1" applyFont="1" applyNumberFormat="1">
      <alignment horizontal="right" readingOrder="0" shrinkToFit="0" vertical="center" wrapText="1"/>
    </xf>
    <xf borderId="22" fillId="8" fontId="32" numFmtId="0" xfId="0" applyAlignment="1" applyBorder="1" applyFill="1" applyFont="1">
      <alignment readingOrder="0" shrinkToFit="0" vertical="center" wrapText="1"/>
    </xf>
    <xf borderId="22" fillId="8" fontId="32" numFmtId="168" xfId="0" applyAlignment="1" applyBorder="1" applyFill="1" applyFont="1" applyNumberFormat="1">
      <alignment horizontal="right" shrinkToFit="0" vertical="center" wrapText="1"/>
    </xf>
    <xf borderId="24" fillId="0" fontId="32" numFmtId="0" xfId="0" applyAlignment="1" applyBorder="1" applyFont="1">
      <alignment horizontal="right" readingOrder="0" shrinkToFit="0" vertical="center" wrapText="1"/>
    </xf>
    <xf borderId="22" fillId="11" fontId="34" numFmtId="0" xfId="0" applyAlignment="1" applyBorder="1" applyFill="1" applyFont="1">
      <alignment readingOrder="0" shrinkToFit="0" vertical="center" wrapText="1"/>
    </xf>
    <xf borderId="22" fillId="11" fontId="34" numFmtId="3" xfId="0" applyAlignment="1" applyBorder="1" applyFill="1" applyFont="1" applyNumberFormat="1">
      <alignment horizontal="right" shrinkToFit="0" vertical="center" wrapText="1"/>
    </xf>
    <xf borderId="22" fillId="11" fontId="34" numFmtId="168" xfId="0" applyAlignment="1" applyBorder="1" applyFill="1" applyFont="1" applyNumberFormat="1">
      <alignment horizontal="right" readingOrder="0" shrinkToFit="0" vertical="center" wrapText="1"/>
    </xf>
    <xf borderId="22" fillId="11" fontId="34" numFmtId="168" xfId="0" applyAlignment="1" applyBorder="1" applyFill="1" applyFont="1" applyNumberFormat="1">
      <alignment horizontal="right" shrinkToFit="0" vertical="center" wrapText="1"/>
    </xf>
    <xf borderId="22" fillId="10" fontId="36" numFmtId="0" xfId="0" applyAlignment="1" applyBorder="1" applyFill="1" applyFont="1">
      <alignment readingOrder="0" shrinkToFit="0" vertical="center" wrapText="1"/>
    </xf>
    <xf borderId="22" fillId="10" fontId="36" numFmtId="3" xfId="0" applyAlignment="1" applyBorder="1" applyFill="1" applyFont="1" applyNumberFormat="1">
      <alignment horizontal="right" shrinkToFit="0" vertical="center" wrapText="1"/>
    </xf>
    <xf borderId="22" fillId="10" fontId="36" numFmtId="0" xfId="0" applyAlignment="1" applyBorder="1" applyFill="1" applyFont="1">
      <alignment horizontal="right" readingOrder="0" shrinkToFit="0" vertical="center" wrapText="1"/>
    </xf>
    <xf borderId="22" fillId="10" fontId="36" numFmtId="168" xfId="0" applyAlignment="1" applyBorder="1" applyFill="1" applyFont="1" applyNumberFormat="1">
      <alignment horizontal="right" shrinkToFit="0" vertical="center" wrapText="1"/>
    </xf>
    <xf borderId="25" fillId="12" fontId="34" numFmtId="0" xfId="0" applyAlignment="1" applyBorder="1" applyFill="1" applyFont="1">
      <alignment readingOrder="0" shrinkToFit="0" vertical="center" wrapText="1"/>
    </xf>
    <xf borderId="26" fillId="12" fontId="34" numFmtId="3" xfId="0" applyAlignment="1" applyBorder="1" applyFill="1" applyFont="1" applyNumberFormat="1">
      <alignment horizontal="right" shrinkToFit="0" vertical="center" wrapText="1"/>
    </xf>
    <xf borderId="26" fillId="12" fontId="34" numFmtId="0" xfId="0" applyAlignment="1" applyBorder="1" applyFill="1" applyFont="1">
      <alignment readingOrder="0" shrinkToFit="0" vertical="center" wrapText="1"/>
    </xf>
    <xf borderId="26" fillId="12" fontId="34" numFmtId="168" xfId="0" applyAlignment="1" applyBorder="1" applyFill="1" applyFont="1" applyNumberFormat="1">
      <alignment horizontal="right" readingOrder="0" shrinkToFit="0" vertical="center" wrapText="1"/>
    </xf>
    <xf borderId="27" fillId="12" fontId="34" numFmtId="168" xfId="0" applyAlignment="1" applyBorder="1" applyFill="1" applyFont="1" applyNumberFormat="1">
      <alignment horizontal="right" shrinkToFit="0" vertical="center" wrapText="1"/>
    </xf>
    <xf borderId="25" fillId="12" fontId="34" numFmtId="0" xfId="0" applyAlignment="1" applyBorder="1" applyFill="1" applyFont="1">
      <alignment readingOrder="0" shrinkToFit="0" vertical="center" wrapText="1"/>
    </xf>
    <xf borderId="25" fillId="12" fontId="34" numFmtId="3" xfId="0" applyAlignment="1" applyBorder="1" applyFill="1" applyFont="1" applyNumberFormat="1">
      <alignment horizontal="right" shrinkToFit="0" vertical="center" wrapText="1"/>
    </xf>
    <xf borderId="25" fillId="12" fontId="34" numFmtId="168" xfId="0" applyAlignment="1" applyBorder="1" applyFill="1" applyFont="1" applyNumberFormat="1">
      <alignment horizontal="right" shrinkToFit="0" vertical="center" wrapText="1"/>
    </xf>
    <xf borderId="23" fillId="0" fontId="32" numFmtId="3" xfId="0" applyAlignment="1" applyBorder="1" applyFont="1" applyNumberFormat="1">
      <alignment horizontal="right" shrinkToFit="0" vertical="center" wrapText="1"/>
    </xf>
    <xf borderId="24" fillId="0" fontId="32" numFmtId="0" xfId="0" applyAlignment="1" applyBorder="1" applyFont="1">
      <alignment readingOrder="0" shrinkToFit="0" vertical="center" wrapText="1"/>
    </xf>
    <xf borderId="23" fillId="10" fontId="32" numFmtId="3" xfId="0" applyAlignment="1" applyBorder="1" applyFill="1" applyFont="1" applyNumberFormat="1">
      <alignment horizontal="right" shrinkToFit="0" vertical="center" wrapText="1"/>
    </xf>
    <xf borderId="24" fillId="10" fontId="32" numFmtId="0" xfId="0" applyAlignment="1" applyBorder="1" applyFill="1" applyFont="1">
      <alignment readingOrder="0" shrinkToFit="0" vertical="center" wrapText="1"/>
    </xf>
    <xf borderId="24" fillId="11" fontId="34" numFmtId="0" xfId="0" applyAlignment="1" applyBorder="1" applyFill="1" applyFont="1">
      <alignment readingOrder="0" shrinkToFit="0" vertical="center" wrapText="1"/>
    </xf>
    <xf borderId="13" fillId="5" fontId="18" numFmtId="0" xfId="0" applyAlignment="1" applyBorder="1" applyFill="1" applyFont="1">
      <alignment shrinkToFit="0" wrapText="1"/>
    </xf>
    <xf borderId="22" fillId="5" fontId="32" numFmtId="0" xfId="0" applyAlignment="1" applyBorder="1" applyFill="1" applyFont="1">
      <alignment readingOrder="0" shrinkToFit="0" vertical="center" wrapText="1"/>
    </xf>
    <xf borderId="23" fillId="5" fontId="32" numFmtId="3" xfId="0" applyAlignment="1" applyBorder="1" applyFill="1" applyFont="1" applyNumberFormat="1">
      <alignment horizontal="right" readingOrder="0" shrinkToFit="0" vertical="center" wrapText="1"/>
    </xf>
    <xf borderId="23" fillId="5" fontId="32" numFmtId="0" xfId="0" applyAlignment="1" applyBorder="1" applyFill="1" applyFont="1">
      <alignment readingOrder="0" shrinkToFit="0" vertical="center" wrapText="1"/>
    </xf>
    <xf borderId="23" fillId="5" fontId="32" numFmtId="168" xfId="0" applyAlignment="1" applyBorder="1" applyFill="1" applyFont="1" applyNumberFormat="1">
      <alignment horizontal="right" readingOrder="0" shrinkToFit="0" vertical="center" wrapText="1"/>
    </xf>
    <xf borderId="24" fillId="5" fontId="32" numFmtId="0" xfId="0" applyAlignment="1" applyBorder="1" applyFill="1" applyFont="1">
      <alignment readingOrder="0" shrinkToFit="0" vertical="center" wrapText="1"/>
    </xf>
    <xf borderId="26" fillId="12" fontId="34" numFmtId="3" xfId="0" applyAlignment="1" applyBorder="1" applyFill="1" applyFont="1" applyNumberFormat="1">
      <alignment horizontal="right" readingOrder="0" shrinkToFit="0" vertical="center" wrapText="1"/>
    </xf>
    <xf borderId="27" fillId="12" fontId="34" numFmtId="0" xfId="0" applyAlignment="1" applyBorder="1" applyFill="1" applyFont="1">
      <alignment readingOrder="0" shrinkToFit="0" vertical="center" wrapText="1"/>
    </xf>
    <xf borderId="28" fillId="5" fontId="18" numFmtId="0" xfId="0" applyBorder="1" applyFill="1" applyFont="1"/>
    <xf borderId="13" fillId="5" fontId="18" numFmtId="0" xfId="0" applyAlignment="1" applyBorder="1" applyFill="1" applyFont="1">
      <alignment shrinkToFit="0" vertical="center" wrapText="1"/>
    </xf>
    <xf borderId="22" fillId="9" fontId="30" numFmtId="0" xfId="0" applyAlignment="1" applyBorder="1" applyFill="1" applyFont="1">
      <alignment horizontal="right" readingOrder="0" shrinkToFit="0" vertical="center" wrapText="1"/>
    </xf>
    <xf borderId="22" fillId="8" fontId="32" numFmtId="0" xfId="0" applyAlignment="1" applyBorder="1" applyFill="1" applyFont="1">
      <alignment readingOrder="0" shrinkToFit="0" vertical="center" wrapText="1"/>
    </xf>
    <xf borderId="23" fillId="8" fontId="32" numFmtId="3" xfId="0" applyAlignment="1" applyBorder="1" applyFill="1" applyFont="1" applyNumberFormat="1">
      <alignment horizontal="right" shrinkToFit="0" vertical="center" wrapText="1"/>
    </xf>
    <xf borderId="23" fillId="8" fontId="32" numFmtId="3" xfId="0" applyAlignment="1" applyBorder="1" applyFill="1" applyFont="1" applyNumberFormat="1">
      <alignment horizontal="right" readingOrder="0" shrinkToFit="0" vertical="center" wrapText="1"/>
    </xf>
    <xf borderId="23" fillId="8" fontId="32" numFmtId="168" xfId="0" applyAlignment="1" applyBorder="1" applyFill="1" applyFont="1" applyNumberFormat="1">
      <alignment horizontal="right" shrinkToFit="0" vertical="center" wrapText="1"/>
    </xf>
    <xf borderId="24" fillId="8" fontId="32" numFmtId="0" xfId="0" applyAlignment="1" applyBorder="1" applyFill="1" applyFont="1">
      <alignment readingOrder="0" shrinkToFit="0" vertical="center" wrapText="1"/>
    </xf>
    <xf borderId="23" fillId="8" fontId="32" numFmtId="0" xfId="0" applyAlignment="1" applyBorder="1" applyFill="1" applyFont="1">
      <alignment readingOrder="0" shrinkToFit="0" vertical="center" wrapText="1"/>
    </xf>
    <xf borderId="23" fillId="8" fontId="32" numFmtId="168" xfId="0" applyAlignment="1" applyBorder="1" applyFill="1" applyFont="1" applyNumberFormat="1">
      <alignment horizontal="right" readingOrder="0" shrinkToFit="0" vertical="center" wrapText="1"/>
    </xf>
    <xf borderId="22" fillId="13" fontId="37" numFmtId="0" xfId="0" applyAlignment="1" applyBorder="1" applyFill="1" applyFont="1">
      <alignment readingOrder="0" shrinkToFit="0" vertical="center" wrapText="1"/>
    </xf>
    <xf borderId="23" fillId="13" fontId="37" numFmtId="3" xfId="0" applyAlignment="1" applyBorder="1" applyFill="1" applyFont="1" applyNumberFormat="1">
      <alignment horizontal="right" shrinkToFit="0" vertical="center" wrapText="1"/>
    </xf>
    <xf borderId="23" fillId="13" fontId="37" numFmtId="3" xfId="0" applyAlignment="1" applyBorder="1" applyFill="1" applyFont="1" applyNumberFormat="1">
      <alignment horizontal="right" readingOrder="0" shrinkToFit="0" vertical="center" wrapText="1"/>
    </xf>
    <xf borderId="23" fillId="13" fontId="37" numFmtId="168" xfId="0" applyAlignment="1" applyBorder="1" applyFill="1" applyFont="1" applyNumberFormat="1">
      <alignment horizontal="right" shrinkToFit="0" vertical="center" wrapText="1"/>
    </xf>
    <xf borderId="24" fillId="13" fontId="37" numFmtId="0" xfId="0" applyAlignment="1" applyBorder="1" applyFill="1" applyFont="1">
      <alignment readingOrder="0" shrinkToFit="0" vertical="center" wrapText="1"/>
    </xf>
    <xf borderId="22" fillId="11" fontId="32" numFmtId="0" xfId="0" applyAlignment="1" applyBorder="1" applyFill="1" applyFont="1">
      <alignment readingOrder="0" shrinkToFit="0" vertical="center" wrapText="1"/>
    </xf>
    <xf borderId="23" fillId="11" fontId="32" numFmtId="3" xfId="0" applyAlignment="1" applyBorder="1" applyFill="1" applyFont="1" applyNumberFormat="1">
      <alignment horizontal="right" shrinkToFit="0" vertical="center" wrapText="1"/>
    </xf>
    <xf borderId="23" fillId="11" fontId="32" numFmtId="3" xfId="0" applyAlignment="1" applyBorder="1" applyFill="1" applyFont="1" applyNumberFormat="1">
      <alignment horizontal="right" readingOrder="0" shrinkToFit="0" vertical="center" wrapText="1"/>
    </xf>
    <xf borderId="23" fillId="11" fontId="32" numFmtId="168" xfId="0" applyAlignment="1" applyBorder="1" applyFill="1" applyFont="1" applyNumberFormat="1">
      <alignment horizontal="right" readingOrder="0" shrinkToFit="0" vertical="center" wrapText="1"/>
    </xf>
    <xf borderId="24" fillId="11" fontId="32" numFmtId="0" xfId="0" applyAlignment="1" applyBorder="1" applyFill="1" applyFont="1">
      <alignment readingOrder="0" shrinkToFit="0" vertical="center" wrapText="1"/>
    </xf>
    <xf borderId="23" fillId="13" fontId="37" numFmtId="0" xfId="0" applyAlignment="1" applyBorder="1" applyFill="1" applyFont="1">
      <alignment readingOrder="0" shrinkToFit="0" vertical="center" wrapText="1"/>
    </xf>
    <xf borderId="22" fillId="11" fontId="37" numFmtId="0" xfId="0" applyAlignment="1" applyBorder="1" applyFill="1" applyFont="1">
      <alignment readingOrder="0" shrinkToFit="0" vertical="center" wrapText="1"/>
    </xf>
    <xf borderId="23" fillId="11" fontId="37" numFmtId="3" xfId="0" applyAlignment="1" applyBorder="1" applyFill="1" applyFont="1" applyNumberFormat="1">
      <alignment horizontal="right" readingOrder="0" shrinkToFit="0" vertical="center" wrapText="1"/>
    </xf>
    <xf borderId="23" fillId="11" fontId="37" numFmtId="0" xfId="0" applyAlignment="1" applyBorder="1" applyFill="1" applyFont="1">
      <alignment readingOrder="0" shrinkToFit="0" vertical="center" wrapText="1"/>
    </xf>
    <xf borderId="23" fillId="11" fontId="37" numFmtId="168" xfId="0" applyAlignment="1" applyBorder="1" applyFill="1" applyFont="1" applyNumberFormat="1">
      <alignment horizontal="right" readingOrder="0" shrinkToFit="0" vertical="center" wrapText="1"/>
    </xf>
    <xf borderId="24" fillId="11" fontId="37" numFmtId="0" xfId="0" applyAlignment="1" applyBorder="1" applyFill="1" applyFont="1">
      <alignment readingOrder="0" shrinkToFit="0" vertical="center" wrapText="1"/>
    </xf>
    <xf borderId="23" fillId="11" fontId="32" numFmtId="0" xfId="0" applyAlignment="1" applyBorder="1" applyFill="1" applyFont="1">
      <alignment readingOrder="0" shrinkToFit="0" vertical="center" wrapText="1"/>
    </xf>
    <xf borderId="29" fillId="5" fontId="32" numFmtId="0" xfId="0" applyAlignment="1" applyBorder="1" applyFill="1" applyFont="1">
      <alignment readingOrder="0" shrinkToFit="0" vertical="center" wrapText="1"/>
    </xf>
    <xf borderId="30" fillId="5" fontId="32" numFmtId="3" xfId="0" applyAlignment="1" applyBorder="1" applyFill="1" applyFont="1" applyNumberFormat="1">
      <alignment horizontal="right" readingOrder="0" shrinkToFit="0" vertical="center" wrapText="1"/>
    </xf>
    <xf borderId="30" fillId="5" fontId="32" numFmtId="168" xfId="0" applyAlignment="1" applyBorder="1" applyFill="1" applyFont="1" applyNumberFormat="1">
      <alignment horizontal="right" readingOrder="0" shrinkToFit="0" vertical="center" wrapText="1"/>
    </xf>
    <xf borderId="31" fillId="5" fontId="32" numFmtId="0" xfId="0" applyAlignment="1" applyBorder="1" applyFill="1" applyFont="1">
      <alignment readingOrder="0" shrinkToFit="0" vertical="center" wrapText="1"/>
    </xf>
    <xf borderId="29" fillId="13" fontId="37" numFmtId="0" xfId="0" applyAlignment="1" applyBorder="1" applyFill="1" applyFont="1">
      <alignment readingOrder="0" shrinkToFit="0" vertical="center" wrapText="1"/>
    </xf>
    <xf borderId="30" fillId="13" fontId="37" numFmtId="3" xfId="0" applyAlignment="1" applyBorder="1" applyFill="1" applyFont="1" applyNumberFormat="1">
      <alignment horizontal="right" shrinkToFit="0" vertical="center" wrapText="1"/>
    </xf>
    <xf borderId="30" fillId="13" fontId="37" numFmtId="0" xfId="0" applyAlignment="1" applyBorder="1" applyFill="1" applyFont="1">
      <alignment readingOrder="0" shrinkToFit="0" vertical="center" wrapText="1"/>
    </xf>
    <xf borderId="30" fillId="13" fontId="37" numFmtId="168" xfId="0" applyAlignment="1" applyBorder="1" applyFill="1" applyFont="1" applyNumberFormat="1">
      <alignment horizontal="right" shrinkToFit="0" vertical="center" wrapText="1"/>
    </xf>
    <xf borderId="31" fillId="13" fontId="37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9">
    <dxf>
      <font>
        <b/>
        <color rgb="FF603814"/>
      </font>
      <fill>
        <patternFill patternType="solid">
          <fgColor rgb="FFEADBCC"/>
          <bgColor rgb="FFEADBCC"/>
        </patternFill>
      </fill>
      <border/>
    </dxf>
    <dxf>
      <font>
        <b/>
        <color rgb="FFBE360B"/>
      </font>
      <fill>
        <patternFill patternType="solid">
          <fgColor rgb="FFFFCCBB"/>
          <bgColor rgb="FFFFCCBB"/>
        </patternFill>
      </fill>
      <border/>
    </dxf>
    <dxf>
      <font>
        <b/>
        <color rgb="FF0B2C6B"/>
      </font>
      <fill>
        <patternFill patternType="solid">
          <fgColor rgb="FFD0E0FC"/>
          <bgColor rgb="FFD0E0FC"/>
        </patternFill>
      </fill>
      <border/>
    </dxf>
    <dxf>
      <font>
        <b/>
        <color rgb="FF1B5E1F"/>
      </font>
      <fill>
        <patternFill patternType="solid">
          <fgColor rgb="FFC7E6C8"/>
          <bgColor rgb="FFC7E6C8"/>
        </patternFill>
      </fill>
      <border/>
    </dxf>
    <dxf>
      <font>
        <b/>
        <color rgb="FF793D00"/>
      </font>
      <fill>
        <patternFill patternType="solid">
          <fgColor rgb="FFFFDFB1"/>
          <bgColor rgb="FFFFDFB1"/>
        </patternFill>
      </fill>
      <border/>
    </dxf>
    <dxf>
      <font>
        <b/>
        <color rgb="FF49138B"/>
      </font>
      <fill>
        <patternFill patternType="solid">
          <fgColor rgb="FFE0BDE7"/>
          <bgColor rgb="FFE0BDE7"/>
        </patternFill>
      </fill>
      <border/>
    </dxf>
    <dxf>
      <font>
        <b/>
        <color rgb="FFB71C1C"/>
      </font>
      <fill>
        <patternFill patternType="solid">
          <fgColor rgb="FFFFCDD2"/>
          <bgColor rgb="FFFFCDD2"/>
        </patternFill>
      </fill>
      <border/>
    </dxf>
    <dxf>
      <font>
        <b/>
        <color rgb="FF005F63"/>
      </font>
      <fill>
        <patternFill patternType="solid">
          <fgColor rgb="FFB1EBF1"/>
          <bgColor rgb="FFB1EBF1"/>
        </patternFill>
      </fill>
      <border/>
    </dxf>
    <dxf>
      <font>
        <b/>
        <color rgb="FF33691E"/>
      </font>
      <fill>
        <patternFill patternType="solid">
          <fgColor rgb="FFDCECC7"/>
          <bgColor rgb="FFDCECC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0E2941"/>
                </a:solidFill>
                <a:latin typeface="Google Sans"/>
              </a:defRPr>
            </a:pPr>
            <a:r>
              <a:rPr b="1" sz="1300">
                <a:solidFill>
                  <a:srgbClr val="0E2941"/>
                </a:solidFill>
                <a:latin typeface="Google Sans"/>
              </a:rPr>
              <a:t>Devices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Calc_Data!$Q$1</c:f>
            </c:strRef>
          </c:tx>
          <c:spPr>
            <a:solidFill>
              <a:srgbClr val="405F90"/>
            </a:solidFill>
            <a:ln cmpd="sng">
              <a:noFill/>
            </a:ln>
          </c:spPr>
          <c:invertIfNegative val="0"/>
          <c:cat>
            <c:strRef>
              <c:f>Calc_Data!$P$2:$P$8</c:f>
            </c:strRef>
          </c:cat>
          <c:val>
            <c:numRef>
              <c:f>Calc_Data!$Q$2:$Q$8</c:f>
              <c:numCache/>
            </c:numRef>
          </c:val>
        </c:ser>
        <c:axId val="821378544"/>
        <c:axId val="1200704171"/>
      </c:barChart>
      <c:catAx>
        <c:axId val="821378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00704171"/>
      </c:catAx>
      <c:valAx>
        <c:axId val="1200704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Number of Devices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137854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0E2941"/>
                </a:solidFill>
                <a:latin typeface="Google Sans"/>
              </a:defRPr>
            </a:pPr>
            <a:r>
              <a:rPr b="1" sz="1300">
                <a:solidFill>
                  <a:srgbClr val="0E2941"/>
                </a:solidFill>
                <a:latin typeface="Google Sans"/>
              </a:rPr>
              <a:t>Equipment by Office: Abuja vs. Benin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Calc_Data!$V$1:$V$3</c:f>
            </c:strRef>
          </c:cat>
          <c:val>
            <c:numRef>
              <c:f>Calc_Data!$W$1:$W$3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0E2941"/>
                </a:solidFill>
                <a:latin typeface="Google Sans"/>
              </a:defRPr>
            </a:pPr>
            <a:r>
              <a:rPr b="1" sz="1300">
                <a:solidFill>
                  <a:srgbClr val="0E2941"/>
                </a:solidFill>
                <a:latin typeface="Google Sans"/>
              </a:rPr>
              <a:t>Online Tools &amp; Software Logins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Calc_Data!$AB$1</c:f>
            </c:strRef>
          </c:tx>
          <c:spPr>
            <a:solidFill>
              <a:srgbClr val="254677"/>
            </a:solidFill>
            <a:ln cmpd="sng">
              <a:noFill/>
            </a:ln>
          </c:spPr>
          <c:invertIfNegative val="0"/>
          <c:cat>
            <c:strRef>
              <c:f>Calc_Data!$AA$2:$AA$10</c:f>
            </c:strRef>
          </c:cat>
          <c:val>
            <c:numRef>
              <c:f>Calc_Data!$AB$2:$AB$10</c:f>
              <c:numCache/>
            </c:numRef>
          </c:val>
        </c:ser>
        <c:axId val="1553872014"/>
        <c:axId val="229559056"/>
      </c:barChart>
      <c:catAx>
        <c:axId val="15538720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Platform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9559056"/>
      </c:catAx>
      <c:valAx>
        <c:axId val="2295590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Active Accounts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3872014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0E2941"/>
                </a:solidFill>
                <a:latin typeface="Google Sans"/>
              </a:defRPr>
            </a:pPr>
            <a:r>
              <a:rPr b="1" sz="1300">
                <a:solidFill>
                  <a:srgbClr val="0E2941"/>
                </a:solidFill>
                <a:latin typeface="Google Sans"/>
              </a:rPr>
              <a:t>Company Equipment Breakdown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Calc_Data!$Y$1:$Y$3</c:f>
            </c:strRef>
          </c:cat>
          <c:val>
            <c:numRef>
              <c:f>Calc_Data!$Z$1:$Z$3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6572250" cy="2667000"/>
    <xdr:graphicFrame>
      <xdr:nvGraphicFramePr>
        <xdr:cNvPr id="1" name="Chart 1" title="Devices by Depart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8</xdr:row>
      <xdr:rowOff>0</xdr:rowOff>
    </xdr:from>
    <xdr:ext cx="6572250" cy="2667000"/>
    <xdr:graphicFrame>
      <xdr:nvGraphicFramePr>
        <xdr:cNvPr id="2" name="Chart 2" title="Equipment by Office: Abuja vs. Beni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21</xdr:row>
      <xdr:rowOff>0</xdr:rowOff>
    </xdr:from>
    <xdr:ext cx="6572250" cy="2667000"/>
    <xdr:graphicFrame>
      <xdr:nvGraphicFramePr>
        <xdr:cNvPr id="3" name="Chart 3" title="Online Tools &amp; Software Log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21</xdr:row>
      <xdr:rowOff>0</xdr:rowOff>
    </xdr:from>
    <xdr:ext cx="6572250" cy="2667000"/>
    <xdr:graphicFrame>
      <xdr:nvGraphicFramePr>
        <xdr:cNvPr id="4" name="Chart 4" title="Company Equipment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zunyon.basechaninternational@gmail.com" TargetMode="External"/><Relationship Id="rId2" Type="http://schemas.openxmlformats.org/officeDocument/2006/relationships/hyperlink" Target="mailto:peter.basechaninternational@gmail.com" TargetMode="External"/><Relationship Id="rId3" Type="http://schemas.openxmlformats.org/officeDocument/2006/relationships/hyperlink" Target="mailto:cletus.basechaninternational@gmail.com" TargetMode="External"/><Relationship Id="rId4" Type="http://schemas.openxmlformats.org/officeDocument/2006/relationships/hyperlink" Target="mailto:Johnmary.basechaninternational@gmail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jumaibasechaninternational@gmail.com" TargetMode="External"/><Relationship Id="rId6" Type="http://schemas.openxmlformats.org/officeDocument/2006/relationships/hyperlink" Target="mailto:nwaiwu.basechaninternational@gmail.com" TargetMode="External"/><Relationship Id="rId7" Type="http://schemas.openxmlformats.org/officeDocument/2006/relationships/hyperlink" Target="mailto:feridu.basechaninternational@gmail.com" TargetMode="External"/><Relationship Id="rId8" Type="http://schemas.openxmlformats.org/officeDocument/2006/relationships/hyperlink" Target="mailto:effiong.basechaninternational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20" Type="http://schemas.openxmlformats.org/officeDocument/2006/relationships/hyperlink" Target="https://apply-international.lsbu.ac.uk/signin" TargetMode="External"/><Relationship Id="rId42" Type="http://schemas.openxmlformats.org/officeDocument/2006/relationships/drawing" Target="../drawings/drawing3.xml"/><Relationship Id="rId41" Type="http://schemas.openxmlformats.org/officeDocument/2006/relationships/hyperlink" Target="mailto:basechannigeria@gmail.com" TargetMode="External"/><Relationship Id="rId22" Type="http://schemas.openxmlformats.org/officeDocument/2006/relationships/hyperlink" Target="https://www.si-applications.com/auth/login" TargetMode="External"/><Relationship Id="rId21" Type="http://schemas.openxmlformats.org/officeDocument/2006/relationships/hyperlink" Target="http://si-applications.com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mailto:ithub@basechaninternational.com" TargetMode="External"/><Relationship Id="rId1" Type="http://schemas.openxmlformats.org/officeDocument/2006/relationships/hyperlink" Target="mailto:izunyon.basechaninternational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mailto:izunyon.basechaninternational@gmail.com" TargetMode="External"/><Relationship Id="rId4" Type="http://schemas.openxmlformats.org/officeDocument/2006/relationships/hyperlink" Target="mailto:izunyon.basechaninternational@gmail.com" TargetMode="External"/><Relationship Id="rId9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mailto:nwaiwu.basechaninternational@gmail.com" TargetMode="External"/><Relationship Id="rId28" Type="http://schemas.openxmlformats.org/officeDocument/2006/relationships/hyperlink" Target="mailto:info@basechaninternational.com" TargetMode="External"/><Relationship Id="rId27" Type="http://schemas.openxmlformats.org/officeDocument/2006/relationships/hyperlink" Target="mailto:feridu.basechaninternstional@gmail.com" TargetMode="External"/><Relationship Id="rId5" Type="http://schemas.openxmlformats.org/officeDocument/2006/relationships/hyperlink" Target="mailto:izunyon.basechaninternational@gmail.com" TargetMode="External"/><Relationship Id="rId6" Type="http://schemas.openxmlformats.org/officeDocument/2006/relationships/hyperlink" Target="mailto:izunyon.basechaninternational@gmail.com" TargetMode="External"/><Relationship Id="rId29" Type="http://schemas.openxmlformats.org/officeDocument/2006/relationships/hyperlink" Target="about:blank" TargetMode="External"/><Relationship Id="rId7" Type="http://schemas.openxmlformats.org/officeDocument/2006/relationships/hyperlink" Target="mailto:peter.basechaninternational@gmail.com" TargetMode="External"/><Relationship Id="rId8" Type="http://schemas.openxmlformats.org/officeDocument/2006/relationships/hyperlink" Target="mailto:peter.basechaninternational@gmail.com" TargetMode="External"/><Relationship Id="rId31" Type="http://schemas.openxmlformats.org/officeDocument/2006/relationships/hyperlink" Target="mailto:effiong.basechaninternational@gmail.com" TargetMode="External"/><Relationship Id="rId3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33" Type="http://schemas.openxmlformats.org/officeDocument/2006/relationships/hyperlink" Target="mailto:effiong.basechaninternational@gmail.com" TargetMode="External"/><Relationship Id="rId10" Type="http://schemas.openxmlformats.org/officeDocument/2006/relationships/hyperlink" Target="mailto:peter.basechaninternational@gmail.com" TargetMode="External"/><Relationship Id="rId32" Type="http://schemas.openxmlformats.org/officeDocument/2006/relationships/hyperlink" Target="mailto:effiong.basechaninternational@gmail.com" TargetMode="External"/><Relationship Id="rId13" Type="http://schemas.openxmlformats.org/officeDocument/2006/relationships/hyperlink" Target="about:blank" TargetMode="External"/><Relationship Id="rId35" Type="http://schemas.openxmlformats.org/officeDocument/2006/relationships/hyperlink" Target="mailto:effiong.basechaninternational@gmail.com" TargetMode="External"/><Relationship Id="rId12" Type="http://schemas.openxmlformats.org/officeDocument/2006/relationships/hyperlink" Target="mailto:peter@basechancontractors.co.uk" TargetMode="External"/><Relationship Id="rId34" Type="http://schemas.openxmlformats.org/officeDocument/2006/relationships/hyperlink" Target="mailto:effiong.basechaninternational@gmail.com" TargetMode="External"/><Relationship Id="rId15" Type="http://schemas.openxmlformats.org/officeDocument/2006/relationships/hyperlink" Target="http://canva.com" TargetMode="External"/><Relationship Id="rId37" Type="http://schemas.openxmlformats.org/officeDocument/2006/relationships/hyperlink" Target="mailto:collinsbasechan@gmail.com" TargetMode="External"/><Relationship Id="rId14" Type="http://schemas.openxmlformats.org/officeDocument/2006/relationships/hyperlink" Target="https://basechan-team.web.app/" TargetMode="External"/><Relationship Id="rId36" Type="http://schemas.openxmlformats.org/officeDocument/2006/relationships/hyperlink" Target="mailto:collinsbasechan@gmail.com" TargetMode="External"/><Relationship Id="rId17" Type="http://schemas.openxmlformats.org/officeDocument/2006/relationships/hyperlink" Target="http://crizac.com" TargetMode="External"/><Relationship Id="rId39" Type="http://schemas.openxmlformats.org/officeDocument/2006/relationships/hyperlink" Target="mailto:collinsbasechan@gmail.com" TargetMode="External"/><Relationship Id="rId16" Type="http://schemas.openxmlformats.org/officeDocument/2006/relationships/hyperlink" Target="https://www.canva.com/" TargetMode="External"/><Relationship Id="rId38" Type="http://schemas.openxmlformats.org/officeDocument/2006/relationships/hyperlink" Target="mailto:collinsbasechan@gmail.com" TargetMode="External"/><Relationship Id="rId19" Type="http://schemas.openxmlformats.org/officeDocument/2006/relationships/hyperlink" Target="http://lsbu.ac.uk" TargetMode="External"/><Relationship Id="rId18" Type="http://schemas.openxmlformats.org/officeDocument/2006/relationships/hyperlink" Target="https://www.crizac.com/authentication/login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2YF7NGuEJrIQA02ERmPzxLlTbdzwJYR1wvAWlQLu82I/edit" TargetMode="External"/><Relationship Id="rId22" Type="http://schemas.openxmlformats.org/officeDocument/2006/relationships/hyperlink" Target="https://docs.google.com/spreadsheets/d/14zwDNI-gjhGAxLGPfpQDKpmD7uBu9MSvQ5GECSQ19dk/edit?gid=0" TargetMode="External"/><Relationship Id="rId21" Type="http://schemas.openxmlformats.org/officeDocument/2006/relationships/hyperlink" Target="https://docs.google.com/spreadsheets/d/1JnDAR148sOcjcjByYyb88hOLIZnyPpIluV6YvtFNUEs/edit" TargetMode="External"/><Relationship Id="rId24" Type="http://schemas.openxmlformats.org/officeDocument/2006/relationships/hyperlink" Target="https://docs.google.com/spreadsheets/d/1-0IgKS0FieBtvj44hZoiGxFFfmLaXtr1k9GzCyzw9NY/edit?gid=1952566712" TargetMode="External"/><Relationship Id="rId23" Type="http://schemas.openxmlformats.org/officeDocument/2006/relationships/hyperlink" Target="https://docs.google.com/spreadsheets/d/1sANdkSAgNSirxkC2uAwcWlGiBrGtYV2ihUXM1rYgNi0/edit?gid=0" TargetMode="External"/><Relationship Id="rId1" Type="http://schemas.openxmlformats.org/officeDocument/2006/relationships/hyperlink" Target="https://docs.google.com/spreadsheets/d/1JnDAR148sOcjcjByYyb88hOLIZnyPpIluV6YvtFNUEs/edit?gid=107644410" TargetMode="External"/><Relationship Id="rId2" Type="http://schemas.openxmlformats.org/officeDocument/2006/relationships/hyperlink" Target="mailto:peter.basechaninternational@gmail.com" TargetMode="External"/><Relationship Id="rId3" Type="http://schemas.openxmlformats.org/officeDocument/2006/relationships/hyperlink" Target="mailto:collinsbasechan@gmail.com" TargetMode="External"/><Relationship Id="rId4" Type="http://schemas.openxmlformats.org/officeDocument/2006/relationships/hyperlink" Target="https://docs.google.com/spreadsheets/d/12YF7NGuEJrIQA02ERmPzxLlTbdzwJYR1wvAWlQLu82I/edit?gid=1165120713" TargetMode="External"/><Relationship Id="rId9" Type="http://schemas.openxmlformats.org/officeDocument/2006/relationships/hyperlink" Target="about:blank" TargetMode="External"/><Relationship Id="rId26" Type="http://schemas.openxmlformats.org/officeDocument/2006/relationships/hyperlink" Target="https://docs.google.com/spreadsheets/d/1wYyuc0NZ-iX9yjhVls7WAyTrRI8Hcs0ZHEJ8tqbez3c/edit?gid=240502715" TargetMode="External"/><Relationship Id="rId25" Type="http://schemas.openxmlformats.org/officeDocument/2006/relationships/hyperlink" Target="https://docs.google.com/spreadsheets/d/12YF7NGuEJrIQA02ERmPzxLlTbdzwJYR1wvAWlQLu82I/edit" TargetMode="External"/><Relationship Id="rId28" Type="http://schemas.openxmlformats.org/officeDocument/2006/relationships/hyperlink" Target="mailto:basechannigeria@gmail.com" TargetMode="External"/><Relationship Id="rId27" Type="http://schemas.openxmlformats.org/officeDocument/2006/relationships/hyperlink" Target="https://docs.google.com/spreadsheets/d/1-0IgKS0FieBtvj44hZoiGxFFfmLaXtr1k9GzCyzw9NY/edit?gid=582638336" TargetMode="External"/><Relationship Id="rId5" Type="http://schemas.openxmlformats.org/officeDocument/2006/relationships/hyperlink" Target="https://docs.google.com/spreadsheets/d/1yFjL3WA6z8IYBRmuaUqGcl4uSN75s9M9G604RWbwQqM/edit?gid=249300912" TargetMode="External"/><Relationship Id="rId6" Type="http://schemas.openxmlformats.org/officeDocument/2006/relationships/hyperlink" Target="https://docs.google.com/spreadsheets/d/1LvmoUMLWH8lxlakFOM4pe-iq19z63UzaLydr0FZbg7g/edit?gid=742684702" TargetMode="External"/><Relationship Id="rId29" Type="http://schemas.openxmlformats.org/officeDocument/2006/relationships/hyperlink" Target="https://docs.google.com/spreadsheets/d/133G1XFh-0ssJoZkk_LUlzarkIEOnozcmeEUMXVj0GeQ/edit?gid=0" TargetMode="External"/><Relationship Id="rId7" Type="http://schemas.openxmlformats.org/officeDocument/2006/relationships/hyperlink" Target="https://docs.google.com/spreadsheets/d/1E5MU8BmMhotD5ty6IeZ7dyw0XuYsiHrU8SG65Nbu3DU/edit?gid=1642543170" TargetMode="External"/><Relationship Id="rId8" Type="http://schemas.openxmlformats.org/officeDocument/2006/relationships/hyperlink" Target="mailto:jumaibasechaninternational@gmail.com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mailto:basechannigeria@gmail.com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mailto:jumaibasechaninternational@gmail.com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mailto:jumaibasechaninternational@gmail.com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mailto:jumaibasechaninternational@gmail.com" TargetMode="External"/><Relationship Id="rId17" Type="http://schemas.openxmlformats.org/officeDocument/2006/relationships/hyperlink" Target="https://docs.google.com/spreadsheets/d/12YF7NGuEJrIQA02ERmPzxLlTbdzwJYR1wvAWlQLu82I/edit" TargetMode="External"/><Relationship Id="rId16" Type="http://schemas.openxmlformats.org/officeDocument/2006/relationships/hyperlink" Target="https://docs.google.com/spreadsheets/d/10g2DN4Yf9pxSKFgZbGuTVzO6uYzS_B42gKejl0Yv5tI/edit?ouid=113810905748685353074&amp;usp=sheets_home&amp;ths=true" TargetMode="External"/><Relationship Id="rId19" Type="http://schemas.openxmlformats.org/officeDocument/2006/relationships/hyperlink" Target="https://docs.google.com/spreadsheets/d/10g2DN4Yf9pxSKFgZbGuTVzO6uYzS_B42gKejl0Yv5tI/edit?ouid=113810905748685353074&amp;usp=sheets_home&amp;ths=true" TargetMode="External"/><Relationship Id="rId18" Type="http://schemas.openxmlformats.org/officeDocument/2006/relationships/hyperlink" Target="https://docs.google.com/spreadsheets/d/1E5MU8BmMhotD5ty6IeZ7dyw0XuYsiHrU8SG65Nbu3DU/edi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18.38"/>
    <col customWidth="1" min="3" max="3" width="15.25"/>
    <col customWidth="1" min="4" max="4" width="22.25"/>
    <col customWidth="1" min="5" max="5" width="15.13"/>
    <col customWidth="1" min="6" max="6" width="20.63"/>
    <col customWidth="1" min="7" max="7" width="12.88"/>
    <col customWidth="1" min="8" max="8" width="13.63"/>
    <col customWidth="1" min="9" max="9" width="16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</v>
      </c>
    </row>
    <row r="2" ht="15.75" customHeight="1">
      <c r="A2" s="4">
        <v>1.0</v>
      </c>
      <c r="B2" s="4" t="s">
        <v>17</v>
      </c>
      <c r="C2" s="4" t="s">
        <v>19</v>
      </c>
      <c r="D2" s="4" t="s">
        <v>20</v>
      </c>
      <c r="E2" s="4" t="s">
        <v>21</v>
      </c>
      <c r="F2" s="10" t="s">
        <v>23</v>
      </c>
      <c r="G2" s="4">
        <v>8.13686581E9</v>
      </c>
      <c r="H2" s="7"/>
      <c r="I2" s="13" t="s">
        <v>27</v>
      </c>
    </row>
    <row r="3" ht="15.75" customHeight="1">
      <c r="A3" s="8">
        <v>2.0</v>
      </c>
      <c r="B3" s="11" t="s">
        <v>57</v>
      </c>
      <c r="C3" s="11" t="s">
        <v>59</v>
      </c>
      <c r="D3" s="11" t="s">
        <v>59</v>
      </c>
      <c r="E3" s="16">
        <v>44621.0</v>
      </c>
      <c r="F3" s="17" t="s">
        <v>83</v>
      </c>
      <c r="G3" s="6">
        <v>8.093992308E9</v>
      </c>
      <c r="H3" s="18"/>
      <c r="I3" s="13" t="s">
        <v>61</v>
      </c>
    </row>
    <row r="4" ht="15.75" customHeight="1">
      <c r="A4" s="8">
        <v>3.0</v>
      </c>
      <c r="B4" s="8" t="s">
        <v>74</v>
      </c>
      <c r="C4" s="8" t="s">
        <v>96</v>
      </c>
      <c r="D4" s="8" t="s">
        <v>100</v>
      </c>
      <c r="E4" s="19">
        <v>44515.0</v>
      </c>
      <c r="F4" s="21" t="s">
        <v>104</v>
      </c>
      <c r="G4" s="8">
        <v>9.037405864E9</v>
      </c>
      <c r="H4" s="22" t="s">
        <v>121</v>
      </c>
      <c r="I4" s="13" t="s">
        <v>61</v>
      </c>
    </row>
    <row r="5" ht="17.25" customHeight="1">
      <c r="A5" s="4">
        <v>4.0</v>
      </c>
      <c r="B5" s="8" t="s">
        <v>124</v>
      </c>
      <c r="C5" s="8" t="s">
        <v>125</v>
      </c>
      <c r="D5" s="8" t="s">
        <v>126</v>
      </c>
      <c r="E5" s="8" t="s">
        <v>128</v>
      </c>
      <c r="F5" s="23" t="s">
        <v>133</v>
      </c>
      <c r="G5" s="6">
        <v>8.126014579E9</v>
      </c>
      <c r="H5" s="8" t="s">
        <v>148</v>
      </c>
      <c r="I5" s="13" t="s">
        <v>61</v>
      </c>
    </row>
    <row r="6" ht="15.75" customHeight="1">
      <c r="A6" s="8">
        <v>5.0</v>
      </c>
      <c r="B6" s="8" t="s">
        <v>149</v>
      </c>
      <c r="C6" s="8" t="s">
        <v>68</v>
      </c>
      <c r="D6" s="8" t="s">
        <v>100</v>
      </c>
      <c r="E6" s="16">
        <v>44661.0</v>
      </c>
      <c r="F6" s="23" t="s">
        <v>151</v>
      </c>
      <c r="G6" s="6">
        <v>9.030157384E9</v>
      </c>
      <c r="H6" s="8" t="s">
        <v>85</v>
      </c>
      <c r="I6" s="13" t="s">
        <v>61</v>
      </c>
    </row>
    <row r="7" ht="15.75" customHeight="1">
      <c r="A7" s="8">
        <v>6.0</v>
      </c>
      <c r="B7" s="8" t="s">
        <v>119</v>
      </c>
      <c r="C7" s="22" t="s">
        <v>120</v>
      </c>
      <c r="D7" s="8" t="s">
        <v>166</v>
      </c>
      <c r="E7" s="8" t="s">
        <v>167</v>
      </c>
      <c r="F7" s="23" t="s">
        <v>169</v>
      </c>
      <c r="G7" s="25" t="str">
        <f>+234 813 467 0164</f>
        <v>#ERROR!</v>
      </c>
      <c r="H7" s="8" t="s">
        <v>174</v>
      </c>
      <c r="I7" s="13" t="s">
        <v>27</v>
      </c>
    </row>
    <row r="8" ht="15.75" customHeight="1">
      <c r="A8" s="4">
        <v>7.0</v>
      </c>
      <c r="B8" s="8" t="s">
        <v>175</v>
      </c>
      <c r="C8" s="8" t="s">
        <v>59</v>
      </c>
      <c r="D8" s="8" t="s">
        <v>176</v>
      </c>
      <c r="E8" s="8" t="s">
        <v>177</v>
      </c>
      <c r="F8" s="26" t="s">
        <v>178</v>
      </c>
      <c r="G8" s="8">
        <v>8.063832238E9</v>
      </c>
      <c r="H8" s="8" t="s">
        <v>148</v>
      </c>
      <c r="I8" s="13" t="s">
        <v>27</v>
      </c>
    </row>
    <row r="9" ht="15.75" customHeight="1">
      <c r="A9" s="8">
        <v>8.0</v>
      </c>
      <c r="B9" s="8" t="s">
        <v>142</v>
      </c>
      <c r="C9" s="8" t="s">
        <v>143</v>
      </c>
      <c r="D9" s="8" t="s">
        <v>181</v>
      </c>
      <c r="E9" s="16">
        <v>44962.0</v>
      </c>
      <c r="F9" s="23" t="s">
        <v>182</v>
      </c>
      <c r="G9" s="6">
        <v>8.168356245E9</v>
      </c>
      <c r="H9" s="8" t="s">
        <v>148</v>
      </c>
      <c r="I9" s="13" t="s">
        <v>61</v>
      </c>
    </row>
    <row r="10" ht="15.75" customHeight="1">
      <c r="A10" s="12">
        <v>9.0</v>
      </c>
      <c r="B10" s="12" t="s">
        <v>184</v>
      </c>
      <c r="C10" s="12" t="s">
        <v>185</v>
      </c>
      <c r="D10" s="12" t="s">
        <v>186</v>
      </c>
      <c r="E10" s="27">
        <v>45293.0</v>
      </c>
      <c r="F10" s="28" t="s">
        <v>187</v>
      </c>
      <c r="G10" s="29">
        <v>8.100517652E9</v>
      </c>
      <c r="H10" s="12" t="s">
        <v>188</v>
      </c>
      <c r="I10" s="5" t="s">
        <v>61</v>
      </c>
    </row>
    <row r="11" ht="15.75" customHeight="1">
      <c r="H11" s="7"/>
    </row>
    <row r="12" ht="15.75" customHeight="1">
      <c r="H12" s="7"/>
    </row>
    <row r="13" ht="15.75" customHeight="1">
      <c r="H13" s="7"/>
    </row>
    <row r="14" ht="15.75" customHeight="1">
      <c r="H14" s="7"/>
    </row>
    <row r="15" ht="15.75" customHeight="1">
      <c r="H15" s="7"/>
    </row>
    <row r="16" ht="15.75" customHeight="1">
      <c r="H16" s="7"/>
    </row>
    <row r="17" ht="15.75" customHeight="1">
      <c r="H17" s="7"/>
    </row>
    <row r="18" ht="15.75" customHeight="1">
      <c r="H18" s="7"/>
    </row>
    <row r="19" ht="15.75" customHeight="1">
      <c r="H19" s="7"/>
    </row>
    <row r="20" ht="15.75" customHeight="1">
      <c r="H20" s="7"/>
    </row>
    <row r="21" ht="15.75" customHeight="1">
      <c r="H21" s="7"/>
    </row>
    <row r="22" ht="15.75" customHeight="1">
      <c r="H22" s="7"/>
    </row>
    <row r="23" ht="15.75" customHeight="1">
      <c r="H23" s="7"/>
    </row>
    <row r="24" ht="15.75" customHeight="1">
      <c r="H24" s="7"/>
    </row>
    <row r="25" ht="15.75" customHeight="1">
      <c r="H25" s="7"/>
    </row>
    <row r="26" ht="15.75" customHeight="1">
      <c r="H26" s="7"/>
    </row>
    <row r="27" ht="15.75" customHeight="1">
      <c r="H27" s="7"/>
    </row>
    <row r="28" ht="15.75" customHeight="1">
      <c r="H28" s="7"/>
    </row>
    <row r="29" ht="15.75" customHeight="1">
      <c r="H29" s="7"/>
    </row>
    <row r="30" ht="15.75" customHeight="1">
      <c r="H30" s="7"/>
    </row>
    <row r="31" ht="15.75" customHeight="1">
      <c r="H31" s="7"/>
    </row>
    <row r="32" ht="15.75" customHeight="1">
      <c r="H32" s="7"/>
    </row>
    <row r="33" ht="15.75" customHeight="1">
      <c r="H33" s="7"/>
    </row>
    <row r="34" ht="15.75" customHeight="1">
      <c r="H34" s="7"/>
    </row>
    <row r="35" ht="15.75" customHeight="1">
      <c r="H35" s="7"/>
    </row>
    <row r="36" ht="15.75" customHeight="1">
      <c r="H36" s="7"/>
    </row>
    <row r="37" ht="15.75" customHeight="1">
      <c r="H37" s="7"/>
    </row>
    <row r="38" ht="15.75" customHeight="1">
      <c r="H38" s="7"/>
    </row>
    <row r="39" ht="15.75" customHeight="1">
      <c r="H39" s="7"/>
    </row>
    <row r="40" ht="15.75" customHeight="1">
      <c r="H40" s="7"/>
    </row>
    <row r="41" ht="15.75" customHeight="1">
      <c r="H41" s="7"/>
    </row>
    <row r="42" ht="15.75" customHeight="1">
      <c r="H42" s="7"/>
    </row>
    <row r="43" ht="15.75" customHeight="1">
      <c r="H43" s="7"/>
    </row>
    <row r="44" ht="15.75" customHeight="1">
      <c r="H44" s="7"/>
    </row>
    <row r="45" ht="15.75" customHeight="1">
      <c r="H45" s="7"/>
    </row>
    <row r="46" ht="15.75" customHeight="1">
      <c r="H46" s="7"/>
    </row>
    <row r="47" ht="15.75" customHeight="1">
      <c r="H47" s="7"/>
    </row>
    <row r="48" ht="15.75" customHeight="1">
      <c r="H48" s="7"/>
    </row>
    <row r="49" ht="15.75" customHeight="1">
      <c r="H49" s="7"/>
    </row>
    <row r="50" ht="15.75" customHeight="1">
      <c r="H50" s="7"/>
    </row>
    <row r="51" ht="15.75" customHeight="1">
      <c r="H51" s="7"/>
    </row>
    <row r="52" ht="15.75" customHeight="1">
      <c r="H52" s="7"/>
    </row>
    <row r="53" ht="15.75" customHeight="1">
      <c r="H53" s="7"/>
    </row>
    <row r="54" ht="15.75" customHeight="1">
      <c r="H54" s="7"/>
    </row>
    <row r="55" ht="15.75" customHeight="1">
      <c r="H55" s="7"/>
    </row>
    <row r="56" ht="15.75" customHeight="1">
      <c r="H56" s="7"/>
    </row>
    <row r="57" ht="15.75" customHeight="1">
      <c r="H57" s="7"/>
    </row>
    <row r="58" ht="15.75" customHeight="1">
      <c r="H58" s="7"/>
    </row>
    <row r="59" ht="15.75" customHeight="1">
      <c r="H59" s="7"/>
    </row>
    <row r="60" ht="15.75" customHeight="1">
      <c r="H60" s="7"/>
    </row>
    <row r="61" ht="15.75" customHeight="1">
      <c r="H61" s="7"/>
    </row>
    <row r="62" ht="15.75" customHeight="1">
      <c r="H62" s="7"/>
    </row>
    <row r="63" ht="15.75" customHeight="1">
      <c r="H63" s="7"/>
    </row>
    <row r="64" ht="15.75" customHeight="1">
      <c r="H64" s="7"/>
    </row>
    <row r="65" ht="15.75" customHeight="1">
      <c r="H65" s="7"/>
    </row>
    <row r="66" ht="15.75" customHeight="1">
      <c r="H66" s="7"/>
    </row>
    <row r="67" ht="15.75" customHeight="1">
      <c r="H67" s="7"/>
    </row>
    <row r="68" ht="15.75" customHeight="1">
      <c r="H68" s="7"/>
    </row>
    <row r="69" ht="15.75" customHeight="1">
      <c r="H69" s="7"/>
    </row>
    <row r="70" ht="15.75" customHeight="1">
      <c r="H70" s="7"/>
    </row>
    <row r="71" ht="15.75" customHeight="1">
      <c r="H71" s="7"/>
    </row>
    <row r="72" ht="15.75" customHeight="1">
      <c r="H72" s="7"/>
    </row>
    <row r="73" ht="15.75" customHeight="1">
      <c r="H73" s="7"/>
    </row>
    <row r="74" ht="15.75" customHeight="1">
      <c r="H74" s="7"/>
    </row>
    <row r="75" ht="15.75" customHeight="1">
      <c r="H75" s="7"/>
    </row>
    <row r="76" ht="15.75" customHeight="1">
      <c r="H76" s="7"/>
    </row>
    <row r="77" ht="15.75" customHeight="1">
      <c r="H77" s="7"/>
    </row>
    <row r="78" ht="15.75" customHeight="1">
      <c r="H78" s="7"/>
    </row>
    <row r="79" ht="15.75" customHeight="1">
      <c r="H79" s="7"/>
    </row>
    <row r="80" ht="15.75" customHeight="1">
      <c r="H80" s="7"/>
    </row>
    <row r="81" ht="15.75" customHeight="1">
      <c r="H81" s="7"/>
    </row>
    <row r="82" ht="15.75" customHeight="1">
      <c r="H82" s="7"/>
    </row>
    <row r="83" ht="15.75" customHeight="1">
      <c r="H83" s="7"/>
    </row>
    <row r="84" ht="15.75" customHeight="1">
      <c r="H84" s="7"/>
    </row>
    <row r="85" ht="15.75" customHeight="1">
      <c r="H85" s="7"/>
    </row>
    <row r="86" ht="15.75" customHeight="1">
      <c r="H86" s="7"/>
    </row>
    <row r="87" ht="15.75" customHeight="1">
      <c r="H87" s="7"/>
    </row>
    <row r="88" ht="15.75" customHeight="1">
      <c r="H88" s="7"/>
    </row>
    <row r="89" ht="15.75" customHeight="1">
      <c r="H89" s="7"/>
    </row>
    <row r="90" ht="15.75" customHeight="1">
      <c r="H90" s="7"/>
    </row>
    <row r="91" ht="15.75" customHeight="1">
      <c r="H91" s="7"/>
    </row>
    <row r="92" ht="15.75" customHeight="1">
      <c r="H92" s="7"/>
    </row>
    <row r="93" ht="15.75" customHeight="1">
      <c r="H93" s="7"/>
    </row>
    <row r="94" ht="15.75" customHeight="1">
      <c r="H94" s="7"/>
    </row>
    <row r="95" ht="15.75" customHeight="1">
      <c r="H95" s="7"/>
    </row>
    <row r="96" ht="15.75" customHeight="1">
      <c r="H96" s="7"/>
    </row>
    <row r="97" ht="15.75" customHeight="1">
      <c r="H97" s="7"/>
    </row>
    <row r="98" ht="15.75" customHeight="1">
      <c r="H98" s="7"/>
    </row>
    <row r="99" ht="15.75" customHeight="1">
      <c r="H99" s="7"/>
    </row>
    <row r="100" ht="15.75" customHeight="1">
      <c r="H100" s="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96123B4-D3FF-4D26-B5E1-7D714078702F}" filter="1" showAutoFilter="1">
      <autoFilter ref="$A$1:$I$10">
        <filterColumn colId="8">
          <customFilters>
            <customFilter val="*Benin*"/>
          </customFilters>
        </filterColumn>
      </autoFilter>
    </customSheetView>
    <customSheetView guid="{2571501F-0BDD-4501-BE9E-CBA00DBDBD07}" filter="1" showAutoFilter="1">
      <autoFilter ref="$A$1:$I$10">
        <filterColumn colId="8">
          <customFilters>
            <customFilter val="*Abuja*"/>
          </customFilters>
        </filterColumn>
      </autoFilter>
    </customSheetView>
  </customSheetViews>
  <conditionalFormatting sqref="B2:B50">
    <cfRule type="containsText" dxfId="0" priority="1" stopIfTrue="1" operator="containsText" text="Imuekemhe">
      <formula>NOT(ISERROR(SEARCH(("Imuekemhe"),(B2))))</formula>
    </cfRule>
  </conditionalFormatting>
  <conditionalFormatting sqref="B2:B50">
    <cfRule type="containsText" dxfId="0" priority="2" stopIfTrue="1" operator="containsText" text="Collins">
      <formula>NOT(ISERROR(SEARCH(("Collins"),(B2))))</formula>
    </cfRule>
  </conditionalFormatting>
  <conditionalFormatting sqref="B2:B50">
    <cfRule type="containsText" dxfId="1" priority="3" stopIfTrue="1" operator="containsText" text="Nwaiwu">
      <formula>NOT(ISERROR(SEARCH(("Nwaiwu"),(B2))))</formula>
    </cfRule>
  </conditionalFormatting>
  <conditionalFormatting sqref="B2:B50">
    <cfRule type="containsText" dxfId="2" priority="4" stopIfTrue="1" operator="containsText" text="Blessing">
      <formula>NOT(ISERROR(SEARCH(("Blessing"),(B2))))</formula>
    </cfRule>
  </conditionalFormatting>
  <conditionalFormatting sqref="B2:B50">
    <cfRule type="containsText" dxfId="3" priority="5" stopIfTrue="1" operator="containsText" text="Peter">
      <formula>NOT(ISERROR(SEARCH(("Peter"),(B2))))</formula>
    </cfRule>
  </conditionalFormatting>
  <conditionalFormatting sqref="B2:B50">
    <cfRule type="containsText" dxfId="4" priority="6" stopIfTrue="1" operator="containsText" text="Cletus">
      <formula>NOT(ISERROR(SEARCH(("Cletus"),(B2))))</formula>
    </cfRule>
  </conditionalFormatting>
  <conditionalFormatting sqref="B2:B50">
    <cfRule type="containsText" dxfId="5" priority="7" stopIfTrue="1" operator="containsText" text="Egbase">
      <formula>NOT(ISERROR(SEARCH(("Egbase"),(B2))))</formula>
    </cfRule>
  </conditionalFormatting>
  <conditionalFormatting sqref="B2:B50">
    <cfRule type="containsText" dxfId="6" priority="8" stopIfTrue="1" operator="containsText" text="Jumai">
      <formula>NOT(ISERROR(SEARCH(("Jumai"),(B2))))</formula>
    </cfRule>
  </conditionalFormatting>
  <conditionalFormatting sqref="B2:B50">
    <cfRule type="containsText" dxfId="7" priority="9" stopIfTrue="1" operator="containsText" text="Feridu">
      <formula>NOT(ISERROR(SEARCH(("Feridu"),(B2))))</formula>
    </cfRule>
  </conditionalFormatting>
  <conditionalFormatting sqref="B2:B50">
    <cfRule type="containsText" dxfId="8" priority="10" stopIfTrue="1" operator="containsText" text="Effiong">
      <formula>NOT(ISERROR(SEARCH(("Effiong"),(B2))))</formula>
    </cfRule>
  </conditionalFormatting>
  <dataValidations>
    <dataValidation type="list" allowBlank="1" sqref="H2:H100">
      <formula1>"Company BVN,Personal BVN"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10.13"/>
    <col customWidth="1" min="3" max="3" width="27.63"/>
    <col customWidth="1" min="4" max="4" width="12.13"/>
    <col customWidth="1" min="5" max="5" width="11.38"/>
    <col customWidth="1" min="6" max="6" width="11.75"/>
    <col customWidth="1" min="7" max="7" width="9.63"/>
    <col customWidth="1" min="8" max="9" width="13.88"/>
    <col customWidth="1" min="10" max="10" width="8.0"/>
    <col customWidth="1" min="11" max="11" width="23.0"/>
  </cols>
  <sheetData>
    <row r="1" ht="15.75" customHeight="1">
      <c r="A1" s="2" t="s">
        <v>0</v>
      </c>
      <c r="B1" s="2" t="s">
        <v>8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2</v>
      </c>
      <c r="H1" s="2" t="s">
        <v>14</v>
      </c>
      <c r="I1" s="2" t="s">
        <v>15</v>
      </c>
      <c r="J1" s="2" t="s">
        <v>16</v>
      </c>
      <c r="K1" s="2" t="s">
        <v>18</v>
      </c>
    </row>
    <row r="2" ht="15.75" customHeight="1">
      <c r="A2" s="4">
        <v>1.0</v>
      </c>
      <c r="C2" s="4" t="s">
        <v>22</v>
      </c>
      <c r="D2" s="4" t="s">
        <v>24</v>
      </c>
      <c r="E2" s="4" t="s">
        <v>25</v>
      </c>
      <c r="F2" s="4" t="s">
        <v>26</v>
      </c>
      <c r="G2" s="4" t="s">
        <v>19</v>
      </c>
      <c r="H2" s="5" t="s">
        <v>27</v>
      </c>
      <c r="I2" s="4" t="s">
        <v>31</v>
      </c>
      <c r="J2" s="7" t="s">
        <v>44</v>
      </c>
      <c r="K2" s="4" t="s">
        <v>45</v>
      </c>
    </row>
    <row r="3" ht="15.75" customHeight="1">
      <c r="A3" s="8">
        <v>2.0</v>
      </c>
      <c r="B3" s="9"/>
      <c r="C3" s="11" t="s">
        <v>49</v>
      </c>
      <c r="D3" s="11" t="s">
        <v>55</v>
      </c>
      <c r="E3" s="11" t="s">
        <v>56</v>
      </c>
      <c r="F3" s="11" t="s">
        <v>57</v>
      </c>
      <c r="G3" s="11" t="s">
        <v>59</v>
      </c>
      <c r="H3" s="11" t="s">
        <v>61</v>
      </c>
      <c r="I3" s="9"/>
      <c r="J3" s="11" t="s">
        <v>65</v>
      </c>
      <c r="K3" s="11" t="s">
        <v>45</v>
      </c>
    </row>
    <row r="4" ht="15.75" customHeight="1">
      <c r="A4" s="12">
        <v>3.0</v>
      </c>
      <c r="B4" s="14"/>
      <c r="C4" s="15" t="s">
        <v>70</v>
      </c>
      <c r="D4" s="15" t="s">
        <v>72</v>
      </c>
      <c r="E4" s="14"/>
      <c r="F4" s="15" t="s">
        <v>74</v>
      </c>
      <c r="G4" s="15" t="s">
        <v>76</v>
      </c>
      <c r="H4" s="15" t="s">
        <v>61</v>
      </c>
      <c r="I4" s="14"/>
      <c r="J4" s="15" t="s">
        <v>77</v>
      </c>
      <c r="K4" s="15" t="s">
        <v>78</v>
      </c>
    </row>
    <row r="5" ht="15.75" customHeight="1">
      <c r="A5" s="4">
        <v>4.0</v>
      </c>
      <c r="B5" s="14"/>
      <c r="C5" s="15" t="s">
        <v>81</v>
      </c>
      <c r="D5" s="14"/>
      <c r="E5" s="14"/>
      <c r="F5" s="15" t="s">
        <v>74</v>
      </c>
      <c r="G5" s="15" t="s">
        <v>76</v>
      </c>
      <c r="H5" s="15" t="s">
        <v>61</v>
      </c>
      <c r="I5" s="14"/>
      <c r="J5" s="15" t="s">
        <v>84</v>
      </c>
      <c r="K5" s="15" t="s">
        <v>78</v>
      </c>
    </row>
    <row r="6" ht="15.75" customHeight="1">
      <c r="A6" s="8">
        <v>5.0</v>
      </c>
      <c r="B6" s="14"/>
      <c r="C6" s="15" t="s">
        <v>86</v>
      </c>
      <c r="D6" s="14"/>
      <c r="E6" s="14"/>
      <c r="F6" s="15" t="s">
        <v>74</v>
      </c>
      <c r="G6" s="15" t="s">
        <v>76</v>
      </c>
      <c r="H6" s="15" t="s">
        <v>61</v>
      </c>
      <c r="I6" s="14"/>
      <c r="J6" s="15" t="s">
        <v>84</v>
      </c>
      <c r="K6" s="15" t="s">
        <v>78</v>
      </c>
    </row>
    <row r="7" ht="15.75" customHeight="1">
      <c r="A7" s="12">
        <v>6.0</v>
      </c>
      <c r="B7" s="14"/>
      <c r="C7" s="15" t="s">
        <v>88</v>
      </c>
      <c r="D7" s="14"/>
      <c r="E7" s="14"/>
      <c r="F7" s="15" t="s">
        <v>74</v>
      </c>
      <c r="G7" s="15" t="s">
        <v>76</v>
      </c>
      <c r="H7" s="15" t="s">
        <v>61</v>
      </c>
      <c r="I7" s="14"/>
      <c r="J7" s="15" t="s">
        <v>84</v>
      </c>
      <c r="K7" s="15" t="s">
        <v>78</v>
      </c>
    </row>
    <row r="8" ht="15.75" customHeight="1">
      <c r="A8" s="4">
        <v>7.0</v>
      </c>
      <c r="B8" s="14"/>
      <c r="C8" s="15" t="s">
        <v>89</v>
      </c>
      <c r="D8" s="14"/>
      <c r="E8" s="14"/>
      <c r="F8" s="15" t="s">
        <v>74</v>
      </c>
      <c r="G8" s="15" t="s">
        <v>76</v>
      </c>
      <c r="H8" s="15" t="s">
        <v>61</v>
      </c>
      <c r="I8" s="14"/>
      <c r="J8" s="15" t="s">
        <v>84</v>
      </c>
      <c r="K8" s="15" t="s">
        <v>78</v>
      </c>
    </row>
    <row r="9" ht="15.75" customHeight="1">
      <c r="A9" s="8">
        <v>8.0</v>
      </c>
      <c r="B9" s="14"/>
      <c r="C9" s="15" t="s">
        <v>90</v>
      </c>
      <c r="D9" s="14"/>
      <c r="E9" s="14"/>
      <c r="F9" s="15" t="s">
        <v>74</v>
      </c>
      <c r="G9" s="15" t="s">
        <v>76</v>
      </c>
      <c r="H9" s="15" t="s">
        <v>61</v>
      </c>
      <c r="I9" s="14"/>
      <c r="J9" s="15" t="s">
        <v>84</v>
      </c>
      <c r="K9" s="15" t="s">
        <v>78</v>
      </c>
    </row>
    <row r="10" ht="15.75" customHeight="1">
      <c r="A10" s="12">
        <v>9.0</v>
      </c>
      <c r="B10" s="9"/>
      <c r="C10" s="8" t="s">
        <v>95</v>
      </c>
      <c r="D10" s="8" t="s">
        <v>97</v>
      </c>
      <c r="E10" s="9"/>
      <c r="F10" s="8" t="s">
        <v>101</v>
      </c>
      <c r="G10" s="8" t="s">
        <v>102</v>
      </c>
      <c r="H10" s="8" t="s">
        <v>61</v>
      </c>
      <c r="I10" s="20">
        <v>46138.0</v>
      </c>
      <c r="J10" s="8" t="s">
        <v>44</v>
      </c>
      <c r="K10" s="8" t="s">
        <v>105</v>
      </c>
    </row>
    <row r="11" ht="15.75" customHeight="1">
      <c r="A11" s="4">
        <v>10.0</v>
      </c>
      <c r="B11" s="9"/>
      <c r="C11" s="8" t="s">
        <v>106</v>
      </c>
      <c r="D11" s="8" t="s">
        <v>107</v>
      </c>
      <c r="E11" s="8" t="s">
        <v>108</v>
      </c>
      <c r="F11" s="8" t="s">
        <v>109</v>
      </c>
      <c r="G11" s="8" t="s">
        <v>19</v>
      </c>
      <c r="H11" s="8" t="s">
        <v>61</v>
      </c>
      <c r="I11" s="9"/>
      <c r="J11" s="8" t="s">
        <v>111</v>
      </c>
      <c r="K11" s="8" t="s">
        <v>105</v>
      </c>
    </row>
    <row r="12" ht="15.75" customHeight="1">
      <c r="A12" s="8">
        <v>11.0</v>
      </c>
      <c r="B12" s="9"/>
      <c r="C12" s="8" t="s">
        <v>81</v>
      </c>
      <c r="D12" s="8" t="s">
        <v>107</v>
      </c>
      <c r="E12" s="9"/>
      <c r="F12" s="8" t="s">
        <v>109</v>
      </c>
      <c r="G12" s="8" t="s">
        <v>19</v>
      </c>
      <c r="H12" s="8" t="s">
        <v>61</v>
      </c>
      <c r="I12" s="9"/>
      <c r="J12" s="8" t="s">
        <v>111</v>
      </c>
      <c r="K12" s="8" t="s">
        <v>105</v>
      </c>
    </row>
    <row r="13" ht="15.75" customHeight="1">
      <c r="A13" s="12">
        <v>12.0</v>
      </c>
      <c r="B13" s="9"/>
      <c r="C13" s="8" t="s">
        <v>86</v>
      </c>
      <c r="D13" s="9"/>
      <c r="E13" s="9"/>
      <c r="F13" s="8" t="s">
        <v>109</v>
      </c>
      <c r="G13" s="8" t="s">
        <v>19</v>
      </c>
      <c r="H13" s="8" t="s">
        <v>61</v>
      </c>
      <c r="I13" s="9"/>
      <c r="J13" s="8" t="s">
        <v>111</v>
      </c>
      <c r="K13" s="8" t="s">
        <v>105</v>
      </c>
    </row>
    <row r="14" ht="15.75" customHeight="1">
      <c r="A14" s="4">
        <v>13.0</v>
      </c>
      <c r="B14" s="9"/>
      <c r="C14" s="22" t="s">
        <v>22</v>
      </c>
      <c r="D14" s="22" t="s">
        <v>117</v>
      </c>
      <c r="E14" s="22" t="s">
        <v>118</v>
      </c>
      <c r="F14" s="22" t="s">
        <v>119</v>
      </c>
      <c r="G14" s="8" t="s">
        <v>120</v>
      </c>
      <c r="H14" s="8" t="s">
        <v>27</v>
      </c>
      <c r="I14" s="22" t="s">
        <v>122</v>
      </c>
      <c r="J14" s="22" t="s">
        <v>123</v>
      </c>
      <c r="K14" s="22" t="s">
        <v>105</v>
      </c>
    </row>
    <row r="15" ht="15.75" customHeight="1">
      <c r="A15" s="8">
        <v>14.0</v>
      </c>
      <c r="B15" s="9"/>
      <c r="C15" s="8" t="s">
        <v>127</v>
      </c>
      <c r="D15" s="8" t="s">
        <v>117</v>
      </c>
      <c r="E15" s="8" t="s">
        <v>129</v>
      </c>
      <c r="F15" s="8" t="s">
        <v>131</v>
      </c>
      <c r="G15" s="8" t="s">
        <v>59</v>
      </c>
      <c r="H15" s="8" t="s">
        <v>27</v>
      </c>
      <c r="I15" s="8" t="s">
        <v>134</v>
      </c>
      <c r="J15" s="18"/>
      <c r="K15" s="9"/>
    </row>
    <row r="16" ht="15.75" customHeight="1">
      <c r="A16" s="12">
        <v>15.0</v>
      </c>
      <c r="B16" s="9"/>
      <c r="C16" s="8" t="s">
        <v>139</v>
      </c>
      <c r="D16" s="8" t="s">
        <v>107</v>
      </c>
      <c r="E16" s="9"/>
      <c r="F16" s="8" t="s">
        <v>142</v>
      </c>
      <c r="G16" s="8" t="s">
        <v>143</v>
      </c>
      <c r="H16" s="8" t="s">
        <v>61</v>
      </c>
      <c r="I16" s="9"/>
      <c r="J16" s="8" t="s">
        <v>44</v>
      </c>
      <c r="K16" s="8" t="s">
        <v>45</v>
      </c>
    </row>
    <row r="17" ht="15.75" customHeight="1">
      <c r="A17" s="4">
        <v>16.0</v>
      </c>
      <c r="B17" s="9"/>
      <c r="C17" s="8" t="s">
        <v>145</v>
      </c>
      <c r="D17" s="9"/>
      <c r="E17" s="9"/>
      <c r="F17" s="8" t="s">
        <v>142</v>
      </c>
      <c r="G17" s="8" t="s">
        <v>143</v>
      </c>
      <c r="H17" s="8" t="s">
        <v>61</v>
      </c>
      <c r="I17" s="9"/>
      <c r="J17" s="8" t="s">
        <v>146</v>
      </c>
      <c r="K17" s="8" t="s">
        <v>147</v>
      </c>
    </row>
    <row r="18" ht="15.75" customHeight="1">
      <c r="A18" s="8">
        <v>17.0</v>
      </c>
      <c r="B18" s="9"/>
      <c r="C18" s="8" t="s">
        <v>86</v>
      </c>
      <c r="D18" s="9"/>
      <c r="E18" s="9"/>
      <c r="F18" s="8" t="s">
        <v>142</v>
      </c>
      <c r="G18" s="8" t="s">
        <v>143</v>
      </c>
      <c r="H18" s="8" t="s">
        <v>61</v>
      </c>
      <c r="I18" s="9"/>
      <c r="J18" s="8" t="s">
        <v>44</v>
      </c>
      <c r="K18" s="8" t="s">
        <v>45</v>
      </c>
    </row>
    <row r="19" ht="15.75" customHeight="1">
      <c r="A19" s="12">
        <v>18.0</v>
      </c>
      <c r="B19" s="9"/>
      <c r="C19" s="8" t="s">
        <v>81</v>
      </c>
      <c r="D19" s="9"/>
      <c r="E19" s="9"/>
      <c r="F19" s="8" t="s">
        <v>142</v>
      </c>
      <c r="G19" s="8" t="s">
        <v>143</v>
      </c>
      <c r="H19" s="8" t="s">
        <v>61</v>
      </c>
      <c r="I19" s="9"/>
      <c r="J19" s="8" t="s">
        <v>44</v>
      </c>
      <c r="K19" s="8" t="s">
        <v>45</v>
      </c>
    </row>
    <row r="20" ht="15.75" customHeight="1">
      <c r="A20" s="4">
        <v>19.0</v>
      </c>
      <c r="B20" s="9"/>
      <c r="C20" s="8" t="s">
        <v>22</v>
      </c>
      <c r="D20" s="8" t="s">
        <v>107</v>
      </c>
      <c r="E20" s="8" t="s">
        <v>150</v>
      </c>
      <c r="F20" s="8" t="s">
        <v>142</v>
      </c>
      <c r="G20" s="8" t="s">
        <v>143</v>
      </c>
      <c r="H20" s="8" t="s">
        <v>61</v>
      </c>
      <c r="I20" s="9"/>
      <c r="J20" s="8" t="s">
        <v>152</v>
      </c>
      <c r="K20" s="8" t="s">
        <v>45</v>
      </c>
    </row>
    <row r="21" ht="15.75" customHeight="1">
      <c r="A21" s="8">
        <v>20.0</v>
      </c>
      <c r="B21" s="9"/>
      <c r="C21" s="22" t="s">
        <v>153</v>
      </c>
      <c r="D21" s="22" t="s">
        <v>154</v>
      </c>
      <c r="E21" s="22" t="s">
        <v>155</v>
      </c>
      <c r="F21" s="22" t="s">
        <v>156</v>
      </c>
      <c r="G21" s="22" t="s">
        <v>157</v>
      </c>
      <c r="H21" s="22" t="s">
        <v>61</v>
      </c>
      <c r="I21" s="9"/>
      <c r="J21" s="22" t="s">
        <v>158</v>
      </c>
      <c r="K21" s="22" t="s">
        <v>105</v>
      </c>
    </row>
    <row r="22" ht="15.75" customHeight="1">
      <c r="A22" s="8">
        <v>21.0</v>
      </c>
      <c r="B22" s="9"/>
      <c r="C22" s="22" t="s">
        <v>159</v>
      </c>
      <c r="D22" s="22" t="s">
        <v>160</v>
      </c>
      <c r="E22" s="9"/>
      <c r="F22" s="9"/>
      <c r="G22" s="9"/>
      <c r="H22" s="9"/>
      <c r="I22" s="9"/>
      <c r="J22" s="8" t="s">
        <v>158</v>
      </c>
      <c r="K22" s="8" t="s">
        <v>105</v>
      </c>
    </row>
    <row r="23" ht="15.75" customHeight="1">
      <c r="A23" s="8">
        <v>22.0</v>
      </c>
      <c r="B23" s="9"/>
      <c r="C23" s="22" t="s">
        <v>162</v>
      </c>
      <c r="D23" s="22" t="s">
        <v>163</v>
      </c>
      <c r="E23" s="22" t="s">
        <v>165</v>
      </c>
      <c r="F23" s="9"/>
      <c r="G23" s="9"/>
      <c r="H23" s="9"/>
      <c r="I23" s="9"/>
      <c r="J23" s="8" t="s">
        <v>158</v>
      </c>
      <c r="K23" s="8" t="s">
        <v>105</v>
      </c>
    </row>
    <row r="24" ht="15.75" customHeight="1">
      <c r="J24" s="7"/>
    </row>
    <row r="25" ht="15.75" customHeight="1">
      <c r="J25" s="7"/>
    </row>
    <row r="26" ht="15.75" customHeight="1">
      <c r="J26" s="7"/>
    </row>
    <row r="27" ht="15.75" customHeight="1">
      <c r="J27" s="7"/>
    </row>
    <row r="28" ht="15.75" customHeight="1">
      <c r="J28" s="7"/>
    </row>
    <row r="29" ht="15.75" customHeight="1">
      <c r="J29" s="7"/>
    </row>
    <row r="30" ht="15.75" customHeight="1">
      <c r="J30" s="7"/>
    </row>
    <row r="31" ht="15.75" customHeight="1">
      <c r="J31" s="7"/>
    </row>
    <row r="32" ht="15.75" customHeight="1">
      <c r="J32" s="7"/>
    </row>
    <row r="33" ht="15.75" customHeight="1">
      <c r="J33" s="7"/>
    </row>
    <row r="34" ht="15.75" customHeight="1">
      <c r="J34" s="7"/>
    </row>
    <row r="35" ht="15.75" customHeight="1">
      <c r="J35" s="7"/>
    </row>
    <row r="36" ht="15.75" customHeight="1">
      <c r="J36" s="7"/>
    </row>
    <row r="37" ht="15.75" customHeight="1">
      <c r="J37" s="7"/>
    </row>
    <row r="38" ht="15.75" customHeight="1">
      <c r="J38" s="7"/>
    </row>
    <row r="39" ht="15.75" customHeight="1">
      <c r="J39" s="7"/>
    </row>
    <row r="40" ht="15.75" customHeight="1">
      <c r="J40" s="7"/>
    </row>
    <row r="41" ht="15.75" customHeight="1">
      <c r="J41" s="7"/>
    </row>
    <row r="42" ht="15.75" customHeight="1">
      <c r="J42" s="7"/>
    </row>
    <row r="43" ht="15.75" customHeight="1">
      <c r="J43" s="7"/>
    </row>
    <row r="44" ht="15.75" customHeight="1">
      <c r="J44" s="7"/>
    </row>
    <row r="45" ht="15.75" customHeight="1">
      <c r="J45" s="7"/>
    </row>
    <row r="46" ht="15.75" customHeight="1">
      <c r="J46" s="7"/>
    </row>
    <row r="47" ht="15.75" customHeight="1">
      <c r="J47" s="7"/>
    </row>
    <row r="48" ht="15.75" customHeight="1">
      <c r="J48" s="7"/>
    </row>
    <row r="49" ht="15.75" customHeight="1">
      <c r="J49" s="7"/>
    </row>
    <row r="50" ht="15.75" customHeight="1">
      <c r="J50" s="7"/>
    </row>
    <row r="51" ht="15.75" customHeight="1">
      <c r="J51" s="7"/>
    </row>
    <row r="52" ht="15.75" customHeight="1">
      <c r="J52" s="7"/>
    </row>
    <row r="53" ht="15.75" customHeight="1">
      <c r="J53" s="7"/>
    </row>
    <row r="54" ht="15.75" customHeight="1">
      <c r="J54" s="7"/>
    </row>
    <row r="55" ht="15.75" customHeight="1">
      <c r="J55" s="7"/>
    </row>
    <row r="56" ht="15.75" customHeight="1">
      <c r="J56" s="7"/>
    </row>
    <row r="57" ht="15.75" customHeight="1">
      <c r="J57" s="7"/>
    </row>
    <row r="58" ht="15.75" customHeight="1">
      <c r="J58" s="7"/>
    </row>
    <row r="59" ht="15.75" customHeight="1">
      <c r="J59" s="7"/>
    </row>
    <row r="60" ht="15.75" customHeight="1">
      <c r="J60" s="7"/>
    </row>
    <row r="61" ht="15.75" customHeight="1">
      <c r="J61" s="7"/>
    </row>
    <row r="62" ht="15.75" customHeight="1">
      <c r="J62" s="7"/>
    </row>
    <row r="63" ht="15.75" customHeight="1">
      <c r="J63" s="7"/>
    </row>
    <row r="64" ht="15.75" customHeight="1">
      <c r="J64" s="7"/>
    </row>
    <row r="65" ht="15.75" customHeight="1">
      <c r="J65" s="7"/>
    </row>
    <row r="66" ht="15.75" customHeight="1">
      <c r="J66" s="7"/>
    </row>
    <row r="67" ht="15.75" customHeight="1">
      <c r="J67" s="7"/>
    </row>
    <row r="68" ht="15.75" customHeight="1">
      <c r="J68" s="7"/>
    </row>
    <row r="69" ht="15.75" customHeight="1">
      <c r="J69" s="7"/>
    </row>
    <row r="70" ht="15.75" customHeight="1">
      <c r="J70" s="7"/>
    </row>
    <row r="71" ht="15.75" customHeight="1">
      <c r="J71" s="7"/>
    </row>
    <row r="72" ht="15.75" customHeight="1">
      <c r="J72" s="7"/>
    </row>
    <row r="73" ht="15.75" customHeight="1">
      <c r="J73" s="7"/>
    </row>
    <row r="74" ht="15.75" customHeight="1">
      <c r="J74" s="7"/>
    </row>
    <row r="75" ht="15.75" customHeight="1">
      <c r="J75" s="7"/>
    </row>
    <row r="76" ht="15.75" customHeight="1">
      <c r="J76" s="7"/>
    </row>
    <row r="77" ht="15.75" customHeight="1">
      <c r="J77" s="7"/>
    </row>
    <row r="78" ht="15.75" customHeight="1">
      <c r="J78" s="7"/>
    </row>
    <row r="79" ht="15.75" customHeight="1">
      <c r="J79" s="7"/>
    </row>
    <row r="80" ht="15.75" customHeight="1">
      <c r="J80" s="7"/>
    </row>
    <row r="81" ht="15.75" customHeight="1">
      <c r="J81" s="7"/>
    </row>
    <row r="82" ht="15.75" customHeight="1">
      <c r="J82" s="7"/>
    </row>
    <row r="83" ht="15.75" customHeight="1">
      <c r="J83" s="7"/>
    </row>
    <row r="84" ht="15.75" customHeight="1">
      <c r="J84" s="7"/>
    </row>
    <row r="85" ht="15.75" customHeight="1">
      <c r="J85" s="7"/>
    </row>
    <row r="86" ht="15.75" customHeight="1">
      <c r="J86" s="7"/>
    </row>
    <row r="87" ht="15.75" customHeight="1">
      <c r="J87" s="7"/>
    </row>
    <row r="88" ht="15.75" customHeight="1">
      <c r="J88" s="7"/>
    </row>
    <row r="89" ht="15.75" customHeight="1">
      <c r="J89" s="7"/>
    </row>
    <row r="90" ht="15.75" customHeight="1">
      <c r="J90" s="7"/>
    </row>
    <row r="91" ht="15.75" customHeight="1">
      <c r="J91" s="7"/>
    </row>
    <row r="92" ht="15.75" customHeight="1">
      <c r="J92" s="7"/>
    </row>
    <row r="93" ht="15.75" customHeight="1">
      <c r="J93" s="7"/>
    </row>
    <row r="94" ht="15.75" customHeight="1">
      <c r="J94" s="7"/>
    </row>
    <row r="95" ht="15.75" customHeight="1">
      <c r="J95" s="7"/>
    </row>
    <row r="96" ht="15.75" customHeight="1">
      <c r="J96" s="7"/>
    </row>
    <row r="97" ht="15.75" customHeight="1">
      <c r="J97" s="7"/>
    </row>
    <row r="98" ht="15.75" customHeight="1">
      <c r="J98" s="7"/>
    </row>
    <row r="99" ht="15.75" customHeight="1">
      <c r="J99" s="7"/>
    </row>
    <row r="100" ht="15.75" customHeight="1">
      <c r="J100" s="7"/>
    </row>
    <row r="101" ht="15.75" customHeight="1">
      <c r="J101" s="7"/>
    </row>
    <row r="102" ht="15.75" customHeight="1">
      <c r="J102" s="7"/>
    </row>
    <row r="103" ht="15.75" customHeight="1">
      <c r="J103" s="7"/>
    </row>
    <row r="104" ht="15.75" customHeight="1">
      <c r="J104" s="7"/>
    </row>
    <row r="105" ht="15.75" customHeight="1">
      <c r="J105" s="7"/>
    </row>
    <row r="106" ht="15.75" customHeight="1">
      <c r="J106" s="7"/>
    </row>
    <row r="107" ht="15.75" customHeight="1">
      <c r="J107" s="7"/>
    </row>
    <row r="108" ht="15.75" customHeight="1">
      <c r="J108" s="7"/>
    </row>
    <row r="109" ht="15.75" customHeight="1">
      <c r="J109" s="7"/>
    </row>
    <row r="110" ht="15.75" customHeight="1">
      <c r="J110" s="7"/>
    </row>
    <row r="111" ht="15.75" customHeight="1">
      <c r="J111" s="7"/>
    </row>
    <row r="112" ht="15.75" customHeight="1">
      <c r="J112" s="7"/>
    </row>
    <row r="113" ht="15.75" customHeight="1">
      <c r="J113" s="7"/>
    </row>
    <row r="114" ht="15.75" customHeight="1">
      <c r="J114" s="7"/>
    </row>
    <row r="115" ht="15.75" customHeight="1">
      <c r="J115" s="7"/>
    </row>
    <row r="116" ht="15.75" customHeight="1">
      <c r="J116" s="7"/>
    </row>
    <row r="117" ht="15.75" customHeight="1">
      <c r="J117" s="7"/>
    </row>
    <row r="118" ht="15.75" customHeight="1">
      <c r="J118" s="7"/>
    </row>
    <row r="119" ht="15.75" customHeight="1">
      <c r="J119" s="7"/>
    </row>
    <row r="120" ht="15.75" customHeight="1">
      <c r="J120" s="7"/>
    </row>
    <row r="121" ht="15.75" customHeight="1">
      <c r="J121" s="7"/>
    </row>
    <row r="122" ht="15.75" customHeight="1">
      <c r="J122" s="7"/>
    </row>
    <row r="123" ht="15.75" customHeight="1">
      <c r="J123" s="7"/>
    </row>
    <row r="124" ht="15.75" customHeight="1">
      <c r="J124" s="7"/>
    </row>
    <row r="125" ht="15.75" customHeight="1">
      <c r="J125" s="7"/>
    </row>
    <row r="126" ht="15.75" customHeight="1">
      <c r="J126" s="7"/>
    </row>
    <row r="127" ht="15.75" customHeight="1">
      <c r="J127" s="7"/>
    </row>
    <row r="128" ht="15.75" customHeight="1">
      <c r="J128" s="7"/>
    </row>
    <row r="129" ht="15.75" customHeight="1">
      <c r="J129" s="7"/>
    </row>
    <row r="130" ht="15.75" customHeight="1">
      <c r="J130" s="7"/>
    </row>
    <row r="131" ht="15.75" customHeight="1">
      <c r="J131" s="7"/>
    </row>
    <row r="132" ht="15.75" customHeight="1">
      <c r="J132" s="7"/>
    </row>
    <row r="133" ht="15.75" customHeight="1">
      <c r="J133" s="7"/>
    </row>
    <row r="134" ht="15.75" customHeight="1">
      <c r="J134" s="7"/>
    </row>
    <row r="135" ht="15.75" customHeight="1">
      <c r="J135" s="7"/>
    </row>
    <row r="136" ht="15.75" customHeight="1">
      <c r="J136" s="7"/>
    </row>
    <row r="137" ht="15.75" customHeight="1">
      <c r="J137" s="7"/>
    </row>
    <row r="138" ht="15.75" customHeight="1">
      <c r="J138" s="7"/>
    </row>
    <row r="139" ht="15.75" customHeight="1">
      <c r="J139" s="7"/>
    </row>
    <row r="140" ht="15.75" customHeight="1">
      <c r="J140" s="7"/>
    </row>
    <row r="141" ht="15.75" customHeight="1">
      <c r="J141" s="7"/>
    </row>
    <row r="142" ht="15.75" customHeight="1">
      <c r="J142" s="7"/>
    </row>
    <row r="143" ht="15.75" customHeight="1">
      <c r="J143" s="7"/>
    </row>
    <row r="144" ht="15.75" customHeight="1">
      <c r="J144" s="7"/>
    </row>
    <row r="145" ht="15.75" customHeight="1">
      <c r="J145" s="7"/>
    </row>
    <row r="146" ht="15.75" customHeight="1">
      <c r="J146" s="7"/>
    </row>
    <row r="147" ht="15.75" customHeight="1">
      <c r="J147" s="7"/>
    </row>
    <row r="148" ht="15.75" customHeight="1">
      <c r="J148" s="7"/>
    </row>
    <row r="149" ht="15.75" customHeight="1">
      <c r="J149" s="7"/>
    </row>
    <row r="150" ht="15.75" customHeight="1">
      <c r="J150" s="7"/>
    </row>
    <row r="151" ht="15.75" customHeight="1">
      <c r="J151" s="7"/>
    </row>
    <row r="152" ht="15.75" customHeight="1">
      <c r="J152" s="7"/>
    </row>
    <row r="153" ht="15.75" customHeight="1">
      <c r="J153" s="7"/>
    </row>
    <row r="154" ht="15.75" customHeight="1">
      <c r="J154" s="7"/>
    </row>
    <row r="155" ht="15.75" customHeight="1">
      <c r="J155" s="7"/>
    </row>
    <row r="156" ht="15.75" customHeight="1">
      <c r="J156" s="7"/>
    </row>
    <row r="157" ht="15.75" customHeight="1">
      <c r="J157" s="7"/>
    </row>
    <row r="158" ht="15.75" customHeight="1">
      <c r="J158" s="7"/>
    </row>
    <row r="159" ht="15.75" customHeight="1">
      <c r="J159" s="7"/>
    </row>
    <row r="160" ht="15.75" customHeight="1">
      <c r="J160" s="7"/>
    </row>
    <row r="161" ht="15.75" customHeight="1">
      <c r="J161" s="7"/>
    </row>
    <row r="162" ht="15.75" customHeight="1">
      <c r="J162" s="7"/>
    </row>
    <row r="163" ht="15.75" customHeight="1">
      <c r="J163" s="7"/>
    </row>
    <row r="164" ht="15.75" customHeight="1">
      <c r="J164" s="7"/>
    </row>
    <row r="165" ht="15.75" customHeight="1">
      <c r="J165" s="7"/>
    </row>
    <row r="166" ht="15.75" customHeight="1">
      <c r="J166" s="7"/>
    </row>
    <row r="167" ht="15.75" customHeight="1">
      <c r="J167" s="7"/>
    </row>
    <row r="168" ht="15.75" customHeight="1">
      <c r="J168" s="7"/>
    </row>
    <row r="169" ht="15.75" customHeight="1">
      <c r="J169" s="7"/>
    </row>
    <row r="170" ht="15.75" customHeight="1">
      <c r="J170" s="7"/>
    </row>
    <row r="171" ht="15.75" customHeight="1">
      <c r="J171" s="7"/>
    </row>
    <row r="172" ht="15.75" customHeight="1">
      <c r="J172" s="7"/>
    </row>
    <row r="173" ht="15.75" customHeight="1">
      <c r="J173" s="7"/>
    </row>
    <row r="174" ht="15.75" customHeight="1">
      <c r="J174" s="7"/>
    </row>
    <row r="175" ht="15.75" customHeight="1">
      <c r="J175" s="7"/>
    </row>
    <row r="176" ht="15.75" customHeight="1">
      <c r="J176" s="7"/>
    </row>
    <row r="177" ht="15.75" customHeight="1">
      <c r="J177" s="7"/>
    </row>
    <row r="178" ht="15.75" customHeight="1">
      <c r="J178" s="7"/>
    </row>
    <row r="179" ht="15.75" customHeight="1">
      <c r="J179" s="7"/>
    </row>
    <row r="180" ht="15.75" customHeight="1">
      <c r="J180" s="7"/>
    </row>
    <row r="181" ht="15.75" customHeight="1">
      <c r="J181" s="7"/>
    </row>
    <row r="182" ht="15.75" customHeight="1">
      <c r="J182" s="7"/>
    </row>
    <row r="183" ht="15.75" customHeight="1">
      <c r="J183" s="7"/>
    </row>
    <row r="184" ht="15.75" customHeight="1">
      <c r="J184" s="7"/>
    </row>
    <row r="185" ht="15.75" customHeight="1">
      <c r="J185" s="7"/>
    </row>
    <row r="186" ht="15.75" customHeight="1">
      <c r="J186" s="7"/>
    </row>
    <row r="187" ht="15.75" customHeight="1">
      <c r="J187" s="7"/>
    </row>
    <row r="188" ht="15.75" customHeight="1">
      <c r="J188" s="7"/>
    </row>
    <row r="189" ht="15.75" customHeight="1">
      <c r="J189" s="7"/>
    </row>
    <row r="190" ht="15.75" customHeight="1">
      <c r="J190" s="7"/>
    </row>
    <row r="191" ht="15.75" customHeight="1">
      <c r="J191" s="7"/>
    </row>
    <row r="192" ht="15.75" customHeight="1">
      <c r="J192" s="7"/>
    </row>
    <row r="193" ht="15.75" customHeight="1">
      <c r="J193" s="7"/>
    </row>
    <row r="194" ht="15.75" customHeight="1">
      <c r="J194" s="7"/>
    </row>
    <row r="195" ht="15.75" customHeight="1">
      <c r="J195" s="7"/>
    </row>
    <row r="196" ht="15.75" customHeight="1">
      <c r="J196" s="7"/>
    </row>
    <row r="197" ht="15.75" customHeight="1">
      <c r="J197" s="7"/>
    </row>
    <row r="198" ht="15.75" customHeight="1">
      <c r="J198" s="7"/>
    </row>
    <row r="199" ht="15.75" customHeight="1">
      <c r="J199" s="7"/>
    </row>
    <row r="200" ht="15.75" customHeight="1">
      <c r="J200" s="7"/>
    </row>
    <row r="201" ht="15.75" customHeight="1">
      <c r="J201" s="7"/>
    </row>
    <row r="202" ht="15.75" customHeight="1">
      <c r="J202" s="7"/>
    </row>
    <row r="203" ht="15.75" customHeight="1">
      <c r="J203" s="7"/>
    </row>
    <row r="204" ht="15.75" customHeight="1">
      <c r="J204" s="7"/>
    </row>
    <row r="205" ht="15.75" customHeight="1">
      <c r="J205" s="7"/>
    </row>
    <row r="206" ht="15.75" customHeight="1">
      <c r="J206" s="7"/>
    </row>
    <row r="207" ht="15.75" customHeight="1">
      <c r="J207" s="7"/>
    </row>
    <row r="208" ht="15.75" customHeight="1">
      <c r="J208" s="7"/>
    </row>
    <row r="209" ht="15.75" customHeight="1">
      <c r="J209" s="7"/>
    </row>
    <row r="210" ht="15.75" customHeight="1">
      <c r="J210" s="7"/>
    </row>
    <row r="211" ht="15.75" customHeight="1">
      <c r="J211" s="7"/>
    </row>
    <row r="212" ht="15.75" customHeight="1">
      <c r="J212" s="7"/>
    </row>
    <row r="213" ht="15.75" customHeight="1">
      <c r="J213" s="7"/>
    </row>
    <row r="214" ht="15.75" customHeight="1">
      <c r="J214" s="7"/>
    </row>
    <row r="215" ht="15.75" customHeight="1">
      <c r="J215" s="7"/>
    </row>
    <row r="216" ht="15.75" customHeight="1">
      <c r="J216" s="7"/>
    </row>
    <row r="217" ht="15.75" customHeight="1">
      <c r="J217" s="7"/>
    </row>
    <row r="218" ht="15.75" customHeight="1">
      <c r="J218" s="7"/>
    </row>
    <row r="219" ht="15.75" customHeight="1">
      <c r="J219" s="7"/>
    </row>
    <row r="220" ht="15.75" customHeight="1">
      <c r="J220" s="7"/>
    </row>
    <row r="221" ht="15.75" customHeight="1">
      <c r="J221" s="4"/>
    </row>
    <row r="222" ht="15.75" customHeight="1">
      <c r="J222" s="4"/>
    </row>
    <row r="223" ht="15.75" customHeight="1">
      <c r="J223" s="4"/>
    </row>
    <row r="224" ht="15.75" customHeight="1">
      <c r="J224" s="4"/>
    </row>
    <row r="225" ht="15.75" customHeight="1">
      <c r="J225" s="4"/>
    </row>
    <row r="226" ht="15.75" customHeight="1">
      <c r="J226" s="4"/>
    </row>
    <row r="227" ht="15.75" customHeight="1">
      <c r="J227" s="4"/>
    </row>
    <row r="228" ht="15.75" customHeight="1">
      <c r="J228" s="4"/>
    </row>
    <row r="229" ht="15.75" customHeight="1">
      <c r="J229" s="4"/>
    </row>
    <row r="230" ht="15.75" customHeight="1">
      <c r="J230" s="4"/>
    </row>
    <row r="231" ht="15.75" customHeight="1">
      <c r="J231" s="4"/>
    </row>
    <row r="232" ht="15.75" customHeight="1">
      <c r="J232" s="4"/>
    </row>
    <row r="233" ht="15.75" customHeight="1">
      <c r="J233" s="4"/>
    </row>
    <row r="234" ht="15.75" customHeight="1">
      <c r="J234" s="4"/>
    </row>
    <row r="235" ht="15.75" customHeight="1">
      <c r="J235" s="4"/>
    </row>
    <row r="236" ht="15.75" customHeight="1">
      <c r="J236" s="4"/>
    </row>
    <row r="237" ht="15.75" customHeight="1">
      <c r="J237" s="4"/>
    </row>
    <row r="238" ht="15.75" customHeight="1">
      <c r="J238" s="4"/>
    </row>
    <row r="239" ht="15.75" customHeight="1">
      <c r="J239" s="4"/>
    </row>
    <row r="240" ht="15.75" customHeight="1">
      <c r="J240" s="4"/>
    </row>
    <row r="241" ht="15.75" customHeight="1">
      <c r="J241" s="4"/>
    </row>
    <row r="242" ht="15.75" customHeight="1">
      <c r="J242" s="4"/>
    </row>
    <row r="243" ht="15.75" customHeight="1">
      <c r="J243" s="4"/>
    </row>
    <row r="244" ht="15.75" customHeight="1">
      <c r="J244" s="4"/>
    </row>
    <row r="245" ht="15.75" customHeight="1">
      <c r="J245" s="4"/>
    </row>
    <row r="246" ht="15.75" customHeight="1">
      <c r="J246" s="4"/>
    </row>
    <row r="247" ht="15.75" customHeight="1">
      <c r="J247" s="4"/>
    </row>
    <row r="248" ht="15.75" customHeight="1">
      <c r="J248" s="4"/>
    </row>
    <row r="249" ht="15.75" customHeight="1">
      <c r="J249" s="4"/>
    </row>
    <row r="250" ht="15.75" customHeight="1">
      <c r="J250" s="4"/>
    </row>
    <row r="251" ht="15.75" customHeight="1">
      <c r="J251" s="4"/>
    </row>
    <row r="252" ht="15.75" customHeight="1">
      <c r="J252" s="4"/>
    </row>
    <row r="253" ht="15.75" customHeight="1">
      <c r="J253" s="4"/>
    </row>
    <row r="254" ht="15.75" customHeight="1">
      <c r="J254" s="4"/>
    </row>
    <row r="255" ht="15.75" customHeight="1">
      <c r="J255" s="4"/>
    </row>
    <row r="256" ht="15.75" customHeight="1">
      <c r="J256" s="4"/>
    </row>
    <row r="257" ht="15.75" customHeight="1">
      <c r="J257" s="4"/>
    </row>
    <row r="258" ht="15.75" customHeight="1">
      <c r="J258" s="4"/>
    </row>
    <row r="259" ht="15.75" customHeight="1">
      <c r="J259" s="4"/>
    </row>
    <row r="260" ht="15.75" customHeight="1">
      <c r="J260" s="4"/>
    </row>
    <row r="261" ht="15.75" customHeight="1">
      <c r="J261" s="4"/>
    </row>
    <row r="262" ht="15.75" customHeight="1">
      <c r="J262" s="4"/>
    </row>
    <row r="263" ht="15.75" customHeight="1">
      <c r="J263" s="4"/>
    </row>
    <row r="264" ht="15.75" customHeight="1">
      <c r="J264" s="4"/>
    </row>
    <row r="265" ht="15.75" customHeight="1">
      <c r="J265" s="4"/>
    </row>
    <row r="266" ht="15.75" customHeight="1">
      <c r="J266" s="4"/>
    </row>
    <row r="267" ht="15.75" customHeight="1">
      <c r="J267" s="4"/>
    </row>
    <row r="268" ht="15.75" customHeight="1">
      <c r="J268" s="4"/>
    </row>
    <row r="269" ht="15.75" customHeight="1">
      <c r="J269" s="4"/>
    </row>
    <row r="270" ht="15.75" customHeight="1">
      <c r="J270" s="4"/>
    </row>
    <row r="271" ht="15.75" customHeight="1">
      <c r="J271" s="4"/>
    </row>
    <row r="272" ht="15.75" customHeight="1">
      <c r="J272" s="4"/>
    </row>
    <row r="273" ht="15.75" customHeight="1">
      <c r="J273" s="4"/>
    </row>
    <row r="274" ht="15.75" customHeight="1">
      <c r="J274" s="4"/>
    </row>
    <row r="275" ht="15.75" customHeight="1">
      <c r="J275" s="4"/>
    </row>
    <row r="276" ht="15.75" customHeight="1">
      <c r="J276" s="4"/>
    </row>
    <row r="277" ht="15.75" customHeight="1">
      <c r="J277" s="4"/>
    </row>
    <row r="278" ht="15.75" customHeight="1">
      <c r="J278" s="4"/>
    </row>
    <row r="279" ht="15.75" customHeight="1">
      <c r="J279" s="4"/>
    </row>
    <row r="280" ht="15.75" customHeight="1">
      <c r="J280" s="4"/>
    </row>
    <row r="281" ht="15.75" customHeight="1">
      <c r="J281" s="4"/>
    </row>
    <row r="282" ht="15.75" customHeight="1">
      <c r="J282" s="4"/>
    </row>
    <row r="283" ht="15.75" customHeight="1">
      <c r="J283" s="4"/>
    </row>
    <row r="284" ht="15.75" customHeight="1">
      <c r="J284" s="4"/>
    </row>
    <row r="285" ht="15.75" customHeight="1">
      <c r="J285" s="4"/>
    </row>
    <row r="286" ht="15.75" customHeight="1">
      <c r="J286" s="4"/>
    </row>
    <row r="287" ht="15.75" customHeight="1">
      <c r="J287" s="4"/>
    </row>
    <row r="288" ht="15.75" customHeight="1">
      <c r="J288" s="4"/>
    </row>
    <row r="289" ht="15.75" customHeight="1">
      <c r="J289" s="4"/>
    </row>
    <row r="290" ht="15.75" customHeight="1">
      <c r="J290" s="4"/>
    </row>
    <row r="291" ht="15.75" customHeight="1">
      <c r="J291" s="4"/>
    </row>
    <row r="292" ht="15.75" customHeight="1">
      <c r="J292" s="4"/>
    </row>
    <row r="293" ht="15.75" customHeight="1">
      <c r="J293" s="4"/>
    </row>
    <row r="294" ht="15.75" customHeight="1">
      <c r="J294" s="4"/>
    </row>
    <row r="295" ht="15.75" customHeight="1">
      <c r="J295" s="4"/>
    </row>
    <row r="296" ht="15.75" customHeight="1">
      <c r="J296" s="4"/>
    </row>
    <row r="297" ht="15.75" customHeight="1">
      <c r="J297" s="4"/>
    </row>
    <row r="298" ht="15.75" customHeight="1">
      <c r="J298" s="4"/>
    </row>
    <row r="299" ht="15.75" customHeight="1">
      <c r="J299" s="4"/>
    </row>
    <row r="300" ht="15.75" customHeight="1">
      <c r="J300" s="4"/>
    </row>
    <row r="301" ht="15.75" customHeight="1">
      <c r="J301" s="4"/>
    </row>
    <row r="302" ht="15.75" customHeight="1">
      <c r="J302" s="4"/>
    </row>
    <row r="303" ht="15.75" customHeight="1">
      <c r="J303" s="4"/>
    </row>
    <row r="304" ht="15.75" customHeight="1">
      <c r="J304" s="4"/>
    </row>
    <row r="305" ht="15.75" customHeight="1">
      <c r="J305" s="4"/>
    </row>
    <row r="306" ht="15.75" customHeight="1">
      <c r="J306" s="4"/>
    </row>
    <row r="307" ht="15.75" customHeight="1">
      <c r="J307" s="4"/>
    </row>
    <row r="308" ht="15.75" customHeight="1">
      <c r="J308" s="4"/>
    </row>
    <row r="309" ht="15.75" customHeight="1">
      <c r="J309" s="4"/>
    </row>
    <row r="310" ht="15.75" customHeight="1">
      <c r="J310" s="4"/>
    </row>
    <row r="311" ht="15.75" customHeight="1">
      <c r="J311" s="4"/>
    </row>
    <row r="312" ht="15.75" customHeight="1">
      <c r="J312" s="4"/>
    </row>
    <row r="313" ht="15.75" customHeight="1">
      <c r="J313" s="4"/>
    </row>
    <row r="314" ht="15.75" customHeight="1">
      <c r="J314" s="4"/>
    </row>
    <row r="315" ht="15.75" customHeight="1">
      <c r="J315" s="4"/>
    </row>
    <row r="316" ht="15.75" customHeight="1">
      <c r="J316" s="4"/>
    </row>
    <row r="317" ht="15.75" customHeight="1">
      <c r="J317" s="4"/>
    </row>
    <row r="318" ht="15.75" customHeight="1">
      <c r="J318" s="4"/>
    </row>
    <row r="319" ht="15.75" customHeight="1">
      <c r="J319" s="4"/>
    </row>
    <row r="320" ht="15.75" customHeight="1">
      <c r="J320" s="4"/>
    </row>
    <row r="321" ht="15.75" customHeight="1">
      <c r="J321" s="4"/>
    </row>
    <row r="322" ht="15.75" customHeight="1">
      <c r="J322" s="4"/>
    </row>
    <row r="323" ht="15.75" customHeight="1">
      <c r="J323" s="4"/>
    </row>
    <row r="324" ht="15.75" customHeight="1">
      <c r="J324" s="4"/>
    </row>
    <row r="325" ht="15.75" customHeight="1">
      <c r="J325" s="4"/>
    </row>
    <row r="326" ht="15.75" customHeight="1">
      <c r="J326" s="4"/>
    </row>
    <row r="327" ht="15.75" customHeight="1">
      <c r="J327" s="4"/>
    </row>
    <row r="328" ht="15.75" customHeight="1">
      <c r="J328" s="4"/>
    </row>
    <row r="329" ht="15.75" customHeight="1">
      <c r="J329" s="4"/>
    </row>
    <row r="330" ht="15.75" customHeight="1">
      <c r="J330" s="4"/>
    </row>
    <row r="331" ht="15.75" customHeight="1">
      <c r="J331" s="4"/>
    </row>
    <row r="332" ht="15.75" customHeight="1">
      <c r="J332" s="4"/>
    </row>
    <row r="333" ht="15.75" customHeight="1">
      <c r="J333" s="4"/>
    </row>
    <row r="334" ht="15.75" customHeight="1">
      <c r="J334" s="4"/>
    </row>
    <row r="335" ht="15.75" customHeight="1">
      <c r="J335" s="4"/>
    </row>
    <row r="336" ht="15.75" customHeight="1">
      <c r="J336" s="4"/>
    </row>
    <row r="337" ht="15.75" customHeight="1">
      <c r="J337" s="4"/>
    </row>
    <row r="338" ht="15.75" customHeight="1">
      <c r="J338" s="4"/>
    </row>
    <row r="339" ht="15.75" customHeight="1">
      <c r="J339" s="4"/>
    </row>
    <row r="340" ht="15.75" customHeight="1">
      <c r="J340" s="4"/>
    </row>
    <row r="341" ht="15.75" customHeight="1">
      <c r="J341" s="4"/>
    </row>
    <row r="342" ht="15.75" customHeight="1">
      <c r="J342" s="4"/>
    </row>
    <row r="343" ht="15.75" customHeight="1">
      <c r="J343" s="4"/>
    </row>
    <row r="344" ht="15.75" customHeight="1">
      <c r="J344" s="4"/>
    </row>
    <row r="345" ht="15.75" customHeight="1">
      <c r="J345" s="4"/>
    </row>
    <row r="346" ht="15.75" customHeight="1">
      <c r="J346" s="4"/>
    </row>
    <row r="347" ht="15.75" customHeight="1">
      <c r="J347" s="4"/>
    </row>
    <row r="348" ht="15.75" customHeight="1">
      <c r="J348" s="4"/>
    </row>
    <row r="349" ht="15.75" customHeight="1">
      <c r="J349" s="4"/>
    </row>
    <row r="350" ht="15.75" customHeight="1">
      <c r="J350" s="4"/>
    </row>
    <row r="351" ht="15.75" customHeight="1">
      <c r="J351" s="4"/>
    </row>
    <row r="352" ht="15.75" customHeight="1">
      <c r="J352" s="4"/>
    </row>
    <row r="353" ht="15.75" customHeight="1">
      <c r="J353" s="4"/>
    </row>
    <row r="354" ht="15.75" customHeight="1">
      <c r="J354" s="4"/>
    </row>
    <row r="355" ht="15.75" customHeight="1">
      <c r="J355" s="4"/>
    </row>
    <row r="356" ht="15.75" customHeight="1">
      <c r="J356" s="4"/>
    </row>
    <row r="357" ht="15.75" customHeight="1">
      <c r="J357" s="4"/>
    </row>
    <row r="358" ht="15.75" customHeight="1">
      <c r="J358" s="4"/>
    </row>
    <row r="359" ht="15.75" customHeight="1">
      <c r="J359" s="4"/>
    </row>
    <row r="360" ht="15.75" customHeight="1">
      <c r="J360" s="4"/>
    </row>
    <row r="361" ht="15.75" customHeight="1">
      <c r="J361" s="4"/>
    </row>
    <row r="362" ht="15.75" customHeight="1">
      <c r="J362" s="4"/>
    </row>
    <row r="363" ht="15.75" customHeight="1">
      <c r="J363" s="4"/>
    </row>
    <row r="364" ht="15.75" customHeight="1">
      <c r="J364" s="4"/>
    </row>
    <row r="365" ht="15.75" customHeight="1">
      <c r="J365" s="4"/>
    </row>
    <row r="366" ht="15.75" customHeight="1">
      <c r="J366" s="4"/>
    </row>
    <row r="367" ht="15.75" customHeight="1">
      <c r="J367" s="4"/>
    </row>
    <row r="368" ht="15.75" customHeight="1">
      <c r="J368" s="4"/>
    </row>
    <row r="369" ht="15.75" customHeight="1">
      <c r="J369" s="4"/>
    </row>
    <row r="370" ht="15.75" customHeight="1">
      <c r="J370" s="4"/>
    </row>
    <row r="371" ht="15.75" customHeight="1">
      <c r="J371" s="4"/>
    </row>
    <row r="372" ht="15.75" customHeight="1">
      <c r="J372" s="4"/>
    </row>
    <row r="373" ht="15.75" customHeight="1">
      <c r="J373" s="4"/>
    </row>
    <row r="374" ht="15.75" customHeight="1">
      <c r="J374" s="4"/>
    </row>
    <row r="375" ht="15.75" customHeight="1">
      <c r="J375" s="4"/>
    </row>
    <row r="376" ht="15.75" customHeight="1">
      <c r="J376" s="4"/>
    </row>
    <row r="377" ht="15.75" customHeight="1">
      <c r="J377" s="4"/>
    </row>
    <row r="378" ht="15.75" customHeight="1">
      <c r="J378" s="4"/>
    </row>
    <row r="379" ht="15.75" customHeight="1">
      <c r="J379" s="4"/>
    </row>
    <row r="380" ht="15.75" customHeight="1">
      <c r="J380" s="4"/>
    </row>
    <row r="381" ht="15.75" customHeight="1">
      <c r="J381" s="4"/>
    </row>
    <row r="382" ht="15.75" customHeight="1">
      <c r="J382" s="4"/>
    </row>
    <row r="383" ht="15.75" customHeight="1">
      <c r="J383" s="4"/>
    </row>
    <row r="384" ht="15.75" customHeight="1">
      <c r="J384" s="4"/>
    </row>
    <row r="385" ht="15.75" customHeight="1">
      <c r="J385" s="4"/>
    </row>
    <row r="386" ht="15.75" customHeight="1">
      <c r="J386" s="4"/>
    </row>
    <row r="387" ht="15.75" customHeight="1">
      <c r="J387" s="4"/>
    </row>
    <row r="388" ht="15.75" customHeight="1">
      <c r="J388" s="4"/>
    </row>
    <row r="389" ht="15.75" customHeight="1">
      <c r="J389" s="4"/>
    </row>
    <row r="390" ht="15.75" customHeight="1">
      <c r="J390" s="4"/>
    </row>
    <row r="391" ht="15.75" customHeight="1">
      <c r="J391" s="4"/>
    </row>
    <row r="392" ht="15.75" customHeight="1">
      <c r="J392" s="4"/>
    </row>
    <row r="393" ht="15.75" customHeight="1">
      <c r="J393" s="4"/>
    </row>
    <row r="394" ht="15.75" customHeight="1">
      <c r="J394" s="4"/>
    </row>
    <row r="395" ht="15.75" customHeight="1">
      <c r="J395" s="4"/>
    </row>
    <row r="396" ht="15.75" customHeight="1">
      <c r="J396" s="4"/>
    </row>
    <row r="397" ht="15.75" customHeight="1">
      <c r="J397" s="4"/>
    </row>
    <row r="398" ht="15.75" customHeight="1">
      <c r="J398" s="4"/>
    </row>
    <row r="399" ht="15.75" customHeight="1">
      <c r="J399" s="4"/>
    </row>
    <row r="400" ht="15.75" customHeight="1">
      <c r="J400" s="4"/>
    </row>
    <row r="401" ht="15.75" customHeight="1">
      <c r="J401" s="4"/>
    </row>
    <row r="402" ht="15.75" customHeight="1">
      <c r="J402" s="4"/>
    </row>
    <row r="403" ht="15.75" customHeight="1">
      <c r="J403" s="4"/>
    </row>
    <row r="404" ht="15.75" customHeight="1">
      <c r="J404" s="4"/>
    </row>
    <row r="405" ht="15.75" customHeight="1">
      <c r="J405" s="4"/>
    </row>
    <row r="406" ht="15.75" customHeight="1">
      <c r="J406" s="4"/>
    </row>
    <row r="407" ht="15.75" customHeight="1">
      <c r="J407" s="4"/>
    </row>
    <row r="408" ht="15.75" customHeight="1">
      <c r="J408" s="4"/>
    </row>
    <row r="409" ht="15.75" customHeight="1">
      <c r="J409" s="4"/>
    </row>
    <row r="410" ht="15.75" customHeight="1">
      <c r="J410" s="4"/>
    </row>
    <row r="411" ht="15.75" customHeight="1">
      <c r="J411" s="4"/>
    </row>
    <row r="412" ht="15.75" customHeight="1">
      <c r="J412" s="4"/>
    </row>
    <row r="413" ht="15.75" customHeight="1">
      <c r="J413" s="4"/>
    </row>
    <row r="414" ht="15.75" customHeight="1">
      <c r="J414" s="4"/>
    </row>
    <row r="415" ht="15.75" customHeight="1">
      <c r="J415" s="4"/>
    </row>
    <row r="416" ht="15.75" customHeight="1">
      <c r="J416" s="4"/>
    </row>
    <row r="417" ht="15.75" customHeight="1">
      <c r="J417" s="4"/>
    </row>
    <row r="418" ht="15.75" customHeight="1">
      <c r="J418" s="4"/>
    </row>
    <row r="419" ht="15.75" customHeight="1">
      <c r="J419" s="4"/>
    </row>
    <row r="420" ht="15.75" customHeight="1">
      <c r="J420" s="4"/>
    </row>
    <row r="421" ht="15.75" customHeight="1">
      <c r="J421" s="4"/>
    </row>
    <row r="422" ht="15.75" customHeight="1">
      <c r="J422" s="4"/>
    </row>
    <row r="423" ht="15.75" customHeight="1">
      <c r="J423" s="4"/>
    </row>
    <row r="424" ht="15.75" customHeight="1">
      <c r="J424" s="4"/>
    </row>
    <row r="425" ht="15.75" customHeight="1">
      <c r="J425" s="4"/>
    </row>
    <row r="426" ht="15.75" customHeight="1">
      <c r="J426" s="4"/>
    </row>
    <row r="427" ht="15.75" customHeight="1">
      <c r="J427" s="4"/>
    </row>
    <row r="428" ht="15.75" customHeight="1">
      <c r="J428" s="4"/>
    </row>
    <row r="429" ht="15.75" customHeight="1">
      <c r="J429" s="4"/>
    </row>
    <row r="430" ht="15.75" customHeight="1">
      <c r="J430" s="4"/>
    </row>
    <row r="431" ht="15.75" customHeight="1">
      <c r="J431" s="4"/>
    </row>
    <row r="432" ht="15.75" customHeight="1">
      <c r="J432" s="4"/>
    </row>
    <row r="433" ht="15.75" customHeight="1">
      <c r="J433" s="4"/>
    </row>
    <row r="434" ht="15.75" customHeight="1">
      <c r="J434" s="4"/>
    </row>
    <row r="435" ht="15.75" customHeight="1">
      <c r="J435" s="4"/>
    </row>
    <row r="436" ht="15.75" customHeight="1">
      <c r="J436" s="4"/>
    </row>
    <row r="437" ht="15.75" customHeight="1">
      <c r="J437" s="4"/>
    </row>
    <row r="438" ht="15.75" customHeight="1">
      <c r="J438" s="4"/>
    </row>
    <row r="439" ht="15.75" customHeight="1">
      <c r="J439" s="4"/>
    </row>
    <row r="440" ht="15.75" customHeight="1">
      <c r="J440" s="4"/>
    </row>
    <row r="441" ht="15.75" customHeight="1">
      <c r="J441" s="4"/>
    </row>
    <row r="442" ht="15.75" customHeight="1">
      <c r="J442" s="4"/>
    </row>
    <row r="443" ht="15.75" customHeight="1">
      <c r="J443" s="4"/>
    </row>
    <row r="444" ht="15.75" customHeight="1">
      <c r="J444" s="4"/>
    </row>
    <row r="445" ht="15.75" customHeight="1">
      <c r="J445" s="4"/>
    </row>
    <row r="446" ht="15.75" customHeight="1">
      <c r="J446" s="4"/>
    </row>
    <row r="447" ht="15.75" customHeight="1">
      <c r="J447" s="4"/>
    </row>
    <row r="448" ht="15.75" customHeight="1">
      <c r="J448" s="4"/>
    </row>
    <row r="449" ht="15.75" customHeight="1">
      <c r="J449" s="4"/>
    </row>
    <row r="450" ht="15.75" customHeight="1">
      <c r="J450" s="4"/>
    </row>
    <row r="451" ht="15.75" customHeight="1">
      <c r="J451" s="4"/>
    </row>
    <row r="452" ht="15.75" customHeight="1">
      <c r="J452" s="4"/>
    </row>
    <row r="453" ht="15.75" customHeight="1">
      <c r="J453" s="4"/>
    </row>
    <row r="454" ht="15.75" customHeight="1">
      <c r="J454" s="4"/>
    </row>
    <row r="455" ht="15.75" customHeight="1">
      <c r="J455" s="4"/>
    </row>
    <row r="456" ht="15.75" customHeight="1">
      <c r="J456" s="4"/>
    </row>
    <row r="457" ht="15.75" customHeight="1">
      <c r="J457" s="4"/>
    </row>
    <row r="458" ht="15.75" customHeight="1">
      <c r="J458" s="4"/>
    </row>
    <row r="459" ht="15.75" customHeight="1">
      <c r="J459" s="4"/>
    </row>
    <row r="460" ht="15.75" customHeight="1">
      <c r="J460" s="4"/>
    </row>
    <row r="461" ht="15.75" customHeight="1">
      <c r="J461" s="4"/>
    </row>
    <row r="462" ht="15.75" customHeight="1">
      <c r="J462" s="4"/>
    </row>
    <row r="463" ht="15.75" customHeight="1">
      <c r="J463" s="4"/>
    </row>
    <row r="464" ht="15.75" customHeight="1">
      <c r="J464" s="4"/>
    </row>
    <row r="465" ht="15.75" customHeight="1">
      <c r="J465" s="4"/>
    </row>
    <row r="466" ht="15.75" customHeight="1">
      <c r="J466" s="4"/>
    </row>
    <row r="467" ht="15.75" customHeight="1">
      <c r="J467" s="4"/>
    </row>
    <row r="468" ht="15.75" customHeight="1">
      <c r="J468" s="4"/>
    </row>
    <row r="469" ht="15.75" customHeight="1">
      <c r="J469" s="4"/>
    </row>
    <row r="470" ht="15.75" customHeight="1">
      <c r="J470" s="4"/>
    </row>
    <row r="471" ht="15.75" customHeight="1">
      <c r="J471" s="4"/>
    </row>
    <row r="472" ht="15.75" customHeight="1">
      <c r="J472" s="4"/>
    </row>
    <row r="473" ht="15.75" customHeight="1">
      <c r="J473" s="4"/>
    </row>
    <row r="474" ht="15.75" customHeight="1">
      <c r="J474" s="4"/>
    </row>
    <row r="475" ht="15.75" customHeight="1">
      <c r="J475" s="4"/>
    </row>
    <row r="476" ht="15.75" customHeight="1">
      <c r="J476" s="4"/>
    </row>
    <row r="477" ht="15.75" customHeight="1">
      <c r="J477" s="4"/>
    </row>
    <row r="478" ht="15.75" customHeight="1">
      <c r="J478" s="4"/>
    </row>
    <row r="479" ht="15.75" customHeight="1">
      <c r="J479" s="4"/>
    </row>
    <row r="480" ht="15.75" customHeight="1">
      <c r="J480" s="4"/>
    </row>
    <row r="481" ht="15.75" customHeight="1">
      <c r="J481" s="4"/>
    </row>
    <row r="482" ht="15.75" customHeight="1">
      <c r="J482" s="4"/>
    </row>
    <row r="483" ht="15.75" customHeight="1">
      <c r="J483" s="4"/>
    </row>
    <row r="484" ht="15.75" customHeight="1">
      <c r="J484" s="4"/>
    </row>
    <row r="485" ht="15.75" customHeight="1">
      <c r="J485" s="4"/>
    </row>
    <row r="486" ht="15.75" customHeight="1">
      <c r="J486" s="4"/>
    </row>
    <row r="487" ht="15.75" customHeight="1">
      <c r="J487" s="4"/>
    </row>
    <row r="488" ht="15.75" customHeight="1">
      <c r="J488" s="4"/>
    </row>
    <row r="489" ht="15.75" customHeight="1">
      <c r="J489" s="4"/>
    </row>
    <row r="490" ht="15.75" customHeight="1">
      <c r="J490" s="4"/>
    </row>
    <row r="491" ht="15.75" customHeight="1">
      <c r="J491" s="4"/>
    </row>
    <row r="492" ht="15.75" customHeight="1">
      <c r="J492" s="4"/>
    </row>
    <row r="493" ht="15.75" customHeight="1">
      <c r="J493" s="4"/>
    </row>
    <row r="494" ht="15.75" customHeight="1">
      <c r="J494" s="4"/>
    </row>
    <row r="495" ht="15.75" customHeight="1">
      <c r="J495" s="4"/>
    </row>
    <row r="496" ht="15.75" customHeight="1">
      <c r="J496" s="4"/>
    </row>
    <row r="497" ht="15.75" customHeight="1">
      <c r="J497" s="4"/>
    </row>
    <row r="498" ht="15.75" customHeight="1">
      <c r="J498" s="4"/>
    </row>
    <row r="499" ht="15.75" customHeight="1">
      <c r="J499" s="4"/>
    </row>
    <row r="500" ht="15.75" customHeight="1">
      <c r="J500" s="4"/>
    </row>
    <row r="501" ht="15.75" customHeight="1">
      <c r="J501" s="4"/>
    </row>
    <row r="502" ht="15.75" customHeight="1">
      <c r="J502" s="4"/>
    </row>
    <row r="503" ht="15.75" customHeight="1">
      <c r="J503" s="4"/>
    </row>
    <row r="504" ht="15.75" customHeight="1">
      <c r="J504" s="4"/>
    </row>
    <row r="505" ht="15.75" customHeight="1">
      <c r="J505" s="4"/>
    </row>
    <row r="506" ht="15.75" customHeight="1">
      <c r="J506" s="4"/>
    </row>
    <row r="507" ht="15.75" customHeight="1">
      <c r="J507" s="4"/>
    </row>
    <row r="508" ht="15.75" customHeight="1">
      <c r="J508" s="4"/>
    </row>
    <row r="509" ht="15.75" customHeight="1">
      <c r="J509" s="4"/>
    </row>
    <row r="510" ht="15.75" customHeight="1">
      <c r="J510" s="4"/>
    </row>
    <row r="511" ht="15.75" customHeight="1">
      <c r="J511" s="4"/>
    </row>
    <row r="512" ht="15.75" customHeight="1">
      <c r="J512" s="4"/>
    </row>
    <row r="513" ht="15.75" customHeight="1">
      <c r="J513" s="4"/>
    </row>
    <row r="514" ht="15.75" customHeight="1">
      <c r="J514" s="4"/>
    </row>
    <row r="515" ht="15.75" customHeight="1">
      <c r="J515" s="4"/>
    </row>
    <row r="516" ht="15.75" customHeight="1">
      <c r="J516" s="4"/>
    </row>
    <row r="517" ht="15.75" customHeight="1">
      <c r="J517" s="4"/>
    </row>
    <row r="518" ht="15.75" customHeight="1">
      <c r="J518" s="4"/>
    </row>
    <row r="519" ht="15.75" customHeight="1">
      <c r="J519" s="4"/>
    </row>
    <row r="520" ht="15.75" customHeight="1">
      <c r="J520" s="4"/>
    </row>
    <row r="521" ht="15.75" customHeight="1">
      <c r="J521" s="4"/>
    </row>
    <row r="522" ht="15.75" customHeight="1">
      <c r="J522" s="4"/>
    </row>
    <row r="523" ht="15.75" customHeight="1">
      <c r="J523" s="4"/>
    </row>
    <row r="524" ht="15.75" customHeight="1">
      <c r="J524" s="4"/>
    </row>
    <row r="525" ht="15.75" customHeight="1">
      <c r="J525" s="4"/>
    </row>
    <row r="526" ht="15.75" customHeight="1">
      <c r="J526" s="4"/>
    </row>
    <row r="527" ht="15.75" customHeight="1">
      <c r="J527" s="4"/>
    </row>
    <row r="528" ht="15.75" customHeight="1">
      <c r="J528" s="4"/>
    </row>
    <row r="529" ht="15.75" customHeight="1">
      <c r="J529" s="4"/>
    </row>
    <row r="530" ht="15.75" customHeight="1">
      <c r="J530" s="4"/>
    </row>
    <row r="531" ht="15.75" customHeight="1">
      <c r="J531" s="4"/>
    </row>
    <row r="532" ht="15.75" customHeight="1">
      <c r="J532" s="4"/>
    </row>
    <row r="533" ht="15.75" customHeight="1">
      <c r="J533" s="4"/>
    </row>
    <row r="534" ht="15.75" customHeight="1">
      <c r="J534" s="4"/>
    </row>
    <row r="535" ht="15.75" customHeight="1">
      <c r="J535" s="4"/>
    </row>
    <row r="536" ht="15.75" customHeight="1">
      <c r="J536" s="4"/>
    </row>
    <row r="537" ht="15.75" customHeight="1">
      <c r="J537" s="4"/>
    </row>
    <row r="538" ht="15.75" customHeight="1">
      <c r="J538" s="4"/>
    </row>
    <row r="539" ht="15.75" customHeight="1">
      <c r="J539" s="4"/>
    </row>
    <row r="540" ht="15.75" customHeight="1">
      <c r="J540" s="4"/>
    </row>
    <row r="541" ht="15.75" customHeight="1">
      <c r="J541" s="4"/>
    </row>
    <row r="542" ht="15.75" customHeight="1">
      <c r="J542" s="4"/>
    </row>
    <row r="543" ht="15.75" customHeight="1">
      <c r="J543" s="4"/>
    </row>
    <row r="544" ht="15.75" customHeight="1">
      <c r="J544" s="4"/>
    </row>
    <row r="545" ht="15.75" customHeight="1">
      <c r="J545" s="4"/>
    </row>
    <row r="546" ht="15.75" customHeight="1">
      <c r="J546" s="4"/>
    </row>
    <row r="547" ht="15.75" customHeight="1">
      <c r="J547" s="4"/>
    </row>
    <row r="548" ht="15.75" customHeight="1">
      <c r="J548" s="4"/>
    </row>
    <row r="549" ht="15.75" customHeight="1">
      <c r="J549" s="4"/>
    </row>
    <row r="550" ht="15.75" customHeight="1">
      <c r="J550" s="4"/>
    </row>
    <row r="551" ht="15.75" customHeight="1">
      <c r="J551" s="4"/>
    </row>
    <row r="552" ht="15.75" customHeight="1">
      <c r="J552" s="4"/>
    </row>
    <row r="553" ht="15.75" customHeight="1">
      <c r="J553" s="4"/>
    </row>
    <row r="554" ht="15.75" customHeight="1">
      <c r="J554" s="4"/>
    </row>
    <row r="555" ht="15.75" customHeight="1">
      <c r="J555" s="4"/>
    </row>
    <row r="556" ht="15.75" customHeight="1">
      <c r="J556" s="4"/>
    </row>
    <row r="557" ht="15.75" customHeight="1">
      <c r="J557" s="4"/>
    </row>
    <row r="558" ht="15.75" customHeight="1">
      <c r="J558" s="4"/>
    </row>
    <row r="559" ht="15.75" customHeight="1">
      <c r="J559" s="4"/>
    </row>
    <row r="560" ht="15.75" customHeight="1">
      <c r="J560" s="4"/>
    </row>
    <row r="561" ht="15.75" customHeight="1">
      <c r="J561" s="4"/>
    </row>
    <row r="562" ht="15.75" customHeight="1">
      <c r="J562" s="4"/>
    </row>
    <row r="563" ht="15.75" customHeight="1">
      <c r="J563" s="4"/>
    </row>
    <row r="564" ht="15.75" customHeight="1">
      <c r="J564" s="4"/>
    </row>
    <row r="565" ht="15.75" customHeight="1">
      <c r="J565" s="4"/>
    </row>
    <row r="566" ht="15.75" customHeight="1">
      <c r="J566" s="4"/>
    </row>
    <row r="567" ht="15.75" customHeight="1">
      <c r="J567" s="4"/>
    </row>
    <row r="568" ht="15.75" customHeight="1">
      <c r="J568" s="4"/>
    </row>
    <row r="569" ht="15.75" customHeight="1">
      <c r="J569" s="4"/>
    </row>
    <row r="570" ht="15.75" customHeight="1">
      <c r="J570" s="4"/>
    </row>
    <row r="571" ht="15.75" customHeight="1">
      <c r="J571" s="4"/>
    </row>
    <row r="572" ht="15.75" customHeight="1">
      <c r="J572" s="4"/>
    </row>
    <row r="573" ht="15.75" customHeight="1">
      <c r="J573" s="4"/>
    </row>
    <row r="574" ht="15.75" customHeight="1">
      <c r="J574" s="4"/>
    </row>
    <row r="575" ht="15.75" customHeight="1">
      <c r="J575" s="4"/>
    </row>
    <row r="576" ht="15.75" customHeight="1">
      <c r="J576" s="4"/>
    </row>
    <row r="577" ht="15.75" customHeight="1">
      <c r="J577" s="4"/>
    </row>
    <row r="578" ht="15.75" customHeight="1">
      <c r="J578" s="4"/>
    </row>
    <row r="579" ht="15.75" customHeight="1">
      <c r="J579" s="4"/>
    </row>
    <row r="580" ht="15.75" customHeight="1">
      <c r="J580" s="4"/>
    </row>
    <row r="581" ht="15.75" customHeight="1">
      <c r="J581" s="4"/>
    </row>
    <row r="582" ht="15.75" customHeight="1">
      <c r="J582" s="4"/>
    </row>
    <row r="583" ht="15.75" customHeight="1">
      <c r="J583" s="4"/>
    </row>
    <row r="584" ht="15.75" customHeight="1">
      <c r="J584" s="4"/>
    </row>
    <row r="585" ht="15.75" customHeight="1">
      <c r="J585" s="4"/>
    </row>
    <row r="586" ht="15.75" customHeight="1">
      <c r="J586" s="4"/>
    </row>
    <row r="587" ht="15.75" customHeight="1">
      <c r="J587" s="4"/>
    </row>
    <row r="588" ht="15.75" customHeight="1">
      <c r="J588" s="4"/>
    </row>
    <row r="589" ht="15.75" customHeight="1">
      <c r="J589" s="4"/>
    </row>
    <row r="590" ht="15.75" customHeight="1">
      <c r="J590" s="4"/>
    </row>
    <row r="591" ht="15.75" customHeight="1">
      <c r="J591" s="4"/>
    </row>
    <row r="592" ht="15.75" customHeight="1">
      <c r="J592" s="4"/>
    </row>
    <row r="593" ht="15.75" customHeight="1">
      <c r="J593" s="4"/>
    </row>
    <row r="594" ht="15.75" customHeight="1">
      <c r="J594" s="4"/>
    </row>
    <row r="595" ht="15.75" customHeight="1">
      <c r="J595" s="4"/>
    </row>
    <row r="596" ht="15.75" customHeight="1">
      <c r="J596" s="4"/>
    </row>
    <row r="597" ht="15.75" customHeight="1">
      <c r="J597" s="4"/>
    </row>
    <row r="598" ht="15.75" customHeight="1">
      <c r="J598" s="4"/>
    </row>
    <row r="599" ht="15.75" customHeight="1">
      <c r="J599" s="4"/>
    </row>
    <row r="600" ht="15.75" customHeight="1">
      <c r="J600" s="4"/>
    </row>
    <row r="601" ht="15.75" customHeight="1">
      <c r="J601" s="4"/>
    </row>
    <row r="602" ht="15.75" customHeight="1">
      <c r="J602" s="4"/>
    </row>
    <row r="603" ht="15.75" customHeight="1">
      <c r="J603" s="4"/>
    </row>
    <row r="604" ht="15.75" customHeight="1">
      <c r="J604" s="4"/>
    </row>
    <row r="605" ht="15.75" customHeight="1">
      <c r="J605" s="4"/>
    </row>
    <row r="606" ht="15.75" customHeight="1">
      <c r="J606" s="4"/>
    </row>
    <row r="607" ht="15.75" customHeight="1">
      <c r="J607" s="4"/>
    </row>
    <row r="608" ht="15.75" customHeight="1">
      <c r="J608" s="4"/>
    </row>
    <row r="609" ht="15.75" customHeight="1">
      <c r="J609" s="4"/>
    </row>
    <row r="610" ht="15.75" customHeight="1">
      <c r="J610" s="4"/>
    </row>
    <row r="611" ht="15.75" customHeight="1">
      <c r="J611" s="4"/>
    </row>
    <row r="612" ht="15.75" customHeight="1">
      <c r="J612" s="4"/>
    </row>
    <row r="613" ht="15.75" customHeight="1">
      <c r="J613" s="4"/>
    </row>
    <row r="614" ht="15.75" customHeight="1">
      <c r="J614" s="4"/>
    </row>
    <row r="615" ht="15.75" customHeight="1">
      <c r="J615" s="4"/>
    </row>
    <row r="616" ht="15.75" customHeight="1">
      <c r="J616" s="4"/>
    </row>
    <row r="617" ht="15.75" customHeight="1">
      <c r="J617" s="4"/>
    </row>
    <row r="618" ht="15.75" customHeight="1">
      <c r="J618" s="4"/>
    </row>
    <row r="619" ht="15.75" customHeight="1">
      <c r="J619" s="4"/>
    </row>
    <row r="620" ht="15.75" customHeight="1">
      <c r="J620" s="4"/>
    </row>
    <row r="621" ht="15.75" customHeight="1">
      <c r="J621" s="4"/>
    </row>
    <row r="622" ht="15.75" customHeight="1">
      <c r="J622" s="4"/>
    </row>
    <row r="623" ht="15.75" customHeight="1">
      <c r="J623" s="4"/>
    </row>
    <row r="624" ht="15.75" customHeight="1">
      <c r="J624" s="4"/>
    </row>
    <row r="625" ht="15.75" customHeight="1">
      <c r="J625" s="4"/>
    </row>
    <row r="626" ht="15.75" customHeight="1">
      <c r="J626" s="4"/>
    </row>
    <row r="627" ht="15.75" customHeight="1">
      <c r="J627" s="4"/>
    </row>
    <row r="628" ht="15.75" customHeight="1">
      <c r="J628" s="4"/>
    </row>
    <row r="629" ht="15.75" customHeight="1">
      <c r="J629" s="4"/>
    </row>
    <row r="630" ht="15.75" customHeight="1">
      <c r="J630" s="4"/>
    </row>
    <row r="631" ht="15.75" customHeight="1">
      <c r="J631" s="4"/>
    </row>
    <row r="632" ht="15.75" customHeight="1">
      <c r="J632" s="4"/>
    </row>
    <row r="633" ht="15.75" customHeight="1">
      <c r="J633" s="4"/>
    </row>
    <row r="634" ht="15.75" customHeight="1">
      <c r="J634" s="4"/>
    </row>
    <row r="635" ht="15.75" customHeight="1">
      <c r="J635" s="4"/>
    </row>
    <row r="636" ht="15.75" customHeight="1">
      <c r="J636" s="4"/>
    </row>
    <row r="637" ht="15.75" customHeight="1">
      <c r="J637" s="4"/>
    </row>
    <row r="638" ht="15.75" customHeight="1">
      <c r="J638" s="4"/>
    </row>
    <row r="639" ht="15.75" customHeight="1">
      <c r="J639" s="4"/>
    </row>
    <row r="640" ht="15.75" customHeight="1">
      <c r="J640" s="4"/>
    </row>
    <row r="641" ht="15.75" customHeight="1">
      <c r="J641" s="4"/>
    </row>
    <row r="642" ht="15.75" customHeight="1">
      <c r="J642" s="4"/>
    </row>
    <row r="643" ht="15.75" customHeight="1">
      <c r="J643" s="4"/>
    </row>
    <row r="644" ht="15.75" customHeight="1">
      <c r="J644" s="4"/>
    </row>
    <row r="645" ht="15.75" customHeight="1">
      <c r="J645" s="4"/>
    </row>
    <row r="646" ht="15.75" customHeight="1">
      <c r="J646" s="4"/>
    </row>
    <row r="647" ht="15.75" customHeight="1">
      <c r="J647" s="4"/>
    </row>
    <row r="648" ht="15.75" customHeight="1">
      <c r="J648" s="4"/>
    </row>
    <row r="649" ht="15.75" customHeight="1">
      <c r="J649" s="4"/>
    </row>
    <row r="650" ht="15.75" customHeight="1">
      <c r="J650" s="4"/>
    </row>
    <row r="651" ht="15.75" customHeight="1">
      <c r="J651" s="4"/>
    </row>
    <row r="652" ht="15.75" customHeight="1">
      <c r="J652" s="4"/>
    </row>
    <row r="653" ht="15.75" customHeight="1">
      <c r="J653" s="4"/>
    </row>
    <row r="654" ht="15.75" customHeight="1">
      <c r="J654" s="4"/>
    </row>
    <row r="655" ht="15.75" customHeight="1">
      <c r="J655" s="4"/>
    </row>
    <row r="656" ht="15.75" customHeight="1">
      <c r="J656" s="4"/>
    </row>
    <row r="657" ht="15.75" customHeight="1">
      <c r="J657" s="4"/>
    </row>
    <row r="658" ht="15.75" customHeight="1">
      <c r="J658" s="4"/>
    </row>
    <row r="659" ht="15.75" customHeight="1">
      <c r="J659" s="4"/>
    </row>
    <row r="660" ht="15.75" customHeight="1">
      <c r="J660" s="4"/>
    </row>
    <row r="661" ht="15.75" customHeight="1">
      <c r="J661" s="4"/>
    </row>
    <row r="662" ht="15.75" customHeight="1">
      <c r="J662" s="4"/>
    </row>
    <row r="663" ht="15.75" customHeight="1">
      <c r="J663" s="4"/>
    </row>
    <row r="664" ht="15.75" customHeight="1">
      <c r="J664" s="4"/>
    </row>
    <row r="665" ht="15.75" customHeight="1">
      <c r="J665" s="4"/>
    </row>
    <row r="666" ht="15.75" customHeight="1">
      <c r="J666" s="4"/>
    </row>
    <row r="667" ht="15.75" customHeight="1">
      <c r="J667" s="4"/>
    </row>
    <row r="668" ht="15.75" customHeight="1">
      <c r="J668" s="4"/>
    </row>
    <row r="669" ht="15.75" customHeight="1">
      <c r="J669" s="4"/>
    </row>
    <row r="670" ht="15.75" customHeight="1">
      <c r="J670" s="4"/>
    </row>
    <row r="671" ht="15.75" customHeight="1">
      <c r="J671" s="4"/>
    </row>
    <row r="672" ht="15.75" customHeight="1">
      <c r="J672" s="4"/>
    </row>
    <row r="673" ht="15.75" customHeight="1">
      <c r="J673" s="4"/>
    </row>
    <row r="674" ht="15.75" customHeight="1">
      <c r="J674" s="4"/>
    </row>
    <row r="675" ht="15.75" customHeight="1">
      <c r="J675" s="4"/>
    </row>
    <row r="676" ht="15.75" customHeight="1">
      <c r="J676" s="4"/>
    </row>
    <row r="677" ht="15.75" customHeight="1">
      <c r="J677" s="4"/>
    </row>
    <row r="678" ht="15.75" customHeight="1">
      <c r="J678" s="4"/>
    </row>
    <row r="679" ht="15.75" customHeight="1">
      <c r="J679" s="4"/>
    </row>
    <row r="680" ht="15.75" customHeight="1">
      <c r="J680" s="4"/>
    </row>
    <row r="681" ht="15.75" customHeight="1">
      <c r="J681" s="4"/>
    </row>
    <row r="682" ht="15.75" customHeight="1">
      <c r="J682" s="4"/>
    </row>
    <row r="683" ht="15.75" customHeight="1">
      <c r="J683" s="4"/>
    </row>
    <row r="684" ht="15.75" customHeight="1">
      <c r="J684" s="4"/>
    </row>
    <row r="685" ht="15.75" customHeight="1">
      <c r="J685" s="4"/>
    </row>
    <row r="686" ht="15.75" customHeight="1">
      <c r="J686" s="4"/>
    </row>
    <row r="687" ht="15.75" customHeight="1">
      <c r="J687" s="4"/>
    </row>
    <row r="688" ht="15.75" customHeight="1">
      <c r="J688" s="4"/>
    </row>
    <row r="689" ht="15.75" customHeight="1">
      <c r="J689" s="4"/>
    </row>
    <row r="690" ht="15.75" customHeight="1">
      <c r="J690" s="4"/>
    </row>
    <row r="691" ht="15.75" customHeight="1">
      <c r="J691" s="4"/>
    </row>
    <row r="692" ht="15.75" customHeight="1">
      <c r="J692" s="4"/>
    </row>
    <row r="693" ht="15.75" customHeight="1">
      <c r="J693" s="4"/>
    </row>
    <row r="694" ht="15.75" customHeight="1">
      <c r="J694" s="4"/>
    </row>
    <row r="695" ht="15.75" customHeight="1">
      <c r="J695" s="4"/>
    </row>
    <row r="696" ht="15.75" customHeight="1">
      <c r="J696" s="4"/>
    </row>
    <row r="697" ht="15.75" customHeight="1">
      <c r="J697" s="4"/>
    </row>
    <row r="698" ht="15.75" customHeight="1">
      <c r="J698" s="4"/>
    </row>
    <row r="699" ht="15.75" customHeight="1">
      <c r="J699" s="4"/>
    </row>
    <row r="700" ht="15.75" customHeight="1">
      <c r="J700" s="4"/>
    </row>
    <row r="701" ht="15.75" customHeight="1">
      <c r="J701" s="4"/>
    </row>
    <row r="702" ht="15.75" customHeight="1">
      <c r="J702" s="4"/>
    </row>
    <row r="703" ht="15.75" customHeight="1">
      <c r="J703" s="4"/>
    </row>
    <row r="704" ht="15.75" customHeight="1">
      <c r="J704" s="4"/>
    </row>
    <row r="705" ht="15.75" customHeight="1">
      <c r="J705" s="4"/>
    </row>
    <row r="706" ht="15.75" customHeight="1">
      <c r="J706" s="4"/>
    </row>
    <row r="707" ht="15.75" customHeight="1">
      <c r="J707" s="4"/>
    </row>
    <row r="708" ht="15.75" customHeight="1">
      <c r="J708" s="4"/>
    </row>
    <row r="709" ht="15.75" customHeight="1">
      <c r="J709" s="4"/>
    </row>
    <row r="710" ht="15.75" customHeight="1">
      <c r="J710" s="4"/>
    </row>
    <row r="711" ht="15.75" customHeight="1">
      <c r="J711" s="4"/>
    </row>
    <row r="712" ht="15.75" customHeight="1">
      <c r="J712" s="4"/>
    </row>
    <row r="713" ht="15.75" customHeight="1">
      <c r="J713" s="4"/>
    </row>
    <row r="714" ht="15.75" customHeight="1">
      <c r="J714" s="4"/>
    </row>
    <row r="715" ht="15.75" customHeight="1">
      <c r="J715" s="4"/>
    </row>
    <row r="716" ht="15.75" customHeight="1">
      <c r="J716" s="4"/>
    </row>
    <row r="717" ht="15.75" customHeight="1">
      <c r="J717" s="4"/>
    </row>
    <row r="718" ht="15.75" customHeight="1">
      <c r="J718" s="4"/>
    </row>
    <row r="719" ht="15.75" customHeight="1">
      <c r="J719" s="4"/>
    </row>
    <row r="720" ht="15.75" customHeight="1">
      <c r="J720" s="4"/>
    </row>
    <row r="721" ht="15.75" customHeight="1">
      <c r="J721" s="4"/>
    </row>
    <row r="722" ht="15.75" customHeight="1">
      <c r="J722" s="4"/>
    </row>
    <row r="723" ht="15.75" customHeight="1">
      <c r="J723" s="4"/>
    </row>
    <row r="724" ht="15.75" customHeight="1">
      <c r="J724" s="4"/>
    </row>
    <row r="725" ht="15.75" customHeight="1">
      <c r="J725" s="4"/>
    </row>
    <row r="726" ht="15.75" customHeight="1">
      <c r="J726" s="4"/>
    </row>
    <row r="727" ht="15.75" customHeight="1">
      <c r="J727" s="4"/>
    </row>
    <row r="728" ht="15.75" customHeight="1">
      <c r="J728" s="4"/>
    </row>
    <row r="729" ht="15.75" customHeight="1">
      <c r="J729" s="4"/>
    </row>
    <row r="730" ht="15.75" customHeight="1">
      <c r="J730" s="4"/>
    </row>
    <row r="731" ht="15.75" customHeight="1">
      <c r="J731" s="4"/>
    </row>
    <row r="732" ht="15.75" customHeight="1">
      <c r="J732" s="4"/>
    </row>
    <row r="733" ht="15.75" customHeight="1">
      <c r="J733" s="4"/>
    </row>
    <row r="734" ht="15.75" customHeight="1">
      <c r="J734" s="4"/>
    </row>
    <row r="735" ht="15.75" customHeight="1">
      <c r="J735" s="4"/>
    </row>
    <row r="736" ht="15.75" customHeight="1">
      <c r="J736" s="4"/>
    </row>
    <row r="737" ht="15.75" customHeight="1">
      <c r="J737" s="4"/>
    </row>
    <row r="738" ht="15.75" customHeight="1">
      <c r="J738" s="4"/>
    </row>
    <row r="739" ht="15.75" customHeight="1">
      <c r="J739" s="4"/>
    </row>
    <row r="740" ht="15.75" customHeight="1">
      <c r="J740" s="4"/>
    </row>
    <row r="741" ht="15.75" customHeight="1">
      <c r="J741" s="4"/>
    </row>
    <row r="742" ht="15.75" customHeight="1">
      <c r="J742" s="4"/>
    </row>
    <row r="743" ht="15.75" customHeight="1">
      <c r="J743" s="4"/>
    </row>
    <row r="744" ht="15.75" customHeight="1">
      <c r="J744" s="4"/>
    </row>
    <row r="745" ht="15.75" customHeight="1">
      <c r="J745" s="4"/>
    </row>
    <row r="746" ht="15.75" customHeight="1">
      <c r="J746" s="4"/>
    </row>
    <row r="747" ht="15.75" customHeight="1">
      <c r="J747" s="4"/>
    </row>
    <row r="748" ht="15.75" customHeight="1">
      <c r="J748" s="4"/>
    </row>
    <row r="749" ht="15.75" customHeight="1">
      <c r="J749" s="4"/>
    </row>
    <row r="750" ht="15.75" customHeight="1">
      <c r="J750" s="4"/>
    </row>
    <row r="751" ht="15.75" customHeight="1">
      <c r="J751" s="4"/>
    </row>
    <row r="752" ht="15.75" customHeight="1">
      <c r="J752" s="4"/>
    </row>
    <row r="753" ht="15.75" customHeight="1">
      <c r="J753" s="4"/>
    </row>
    <row r="754" ht="15.75" customHeight="1">
      <c r="J754" s="4"/>
    </row>
    <row r="755" ht="15.75" customHeight="1">
      <c r="J755" s="4"/>
    </row>
    <row r="756" ht="15.75" customHeight="1">
      <c r="J756" s="4"/>
    </row>
    <row r="757" ht="15.75" customHeight="1">
      <c r="J757" s="4"/>
    </row>
    <row r="758" ht="15.75" customHeight="1">
      <c r="J758" s="4"/>
    </row>
    <row r="759" ht="15.75" customHeight="1">
      <c r="J759" s="4"/>
    </row>
    <row r="760" ht="15.75" customHeight="1">
      <c r="J760" s="4"/>
    </row>
    <row r="761" ht="15.75" customHeight="1">
      <c r="J761" s="4"/>
    </row>
    <row r="762" ht="15.75" customHeight="1">
      <c r="J762" s="4"/>
    </row>
    <row r="763" ht="15.75" customHeight="1">
      <c r="J763" s="4"/>
    </row>
    <row r="764" ht="15.75" customHeight="1">
      <c r="J764" s="4"/>
    </row>
    <row r="765" ht="15.75" customHeight="1">
      <c r="J765" s="4"/>
    </row>
    <row r="766" ht="15.75" customHeight="1">
      <c r="J766" s="4"/>
    </row>
    <row r="767" ht="15.75" customHeight="1">
      <c r="J767" s="4"/>
    </row>
    <row r="768" ht="15.75" customHeight="1">
      <c r="J768" s="4"/>
    </row>
    <row r="769" ht="15.75" customHeight="1">
      <c r="J769" s="4"/>
    </row>
    <row r="770" ht="15.75" customHeight="1">
      <c r="J770" s="4"/>
    </row>
    <row r="771" ht="15.75" customHeight="1">
      <c r="J771" s="4"/>
    </row>
    <row r="772" ht="15.75" customHeight="1">
      <c r="J772" s="4"/>
    </row>
    <row r="773" ht="15.75" customHeight="1">
      <c r="J773" s="4"/>
    </row>
    <row r="774" ht="15.75" customHeight="1">
      <c r="J774" s="4"/>
    </row>
    <row r="775" ht="15.75" customHeight="1">
      <c r="J775" s="4"/>
    </row>
    <row r="776" ht="15.75" customHeight="1">
      <c r="J776" s="4"/>
    </row>
    <row r="777" ht="15.75" customHeight="1">
      <c r="J777" s="4"/>
    </row>
    <row r="778" ht="15.75" customHeight="1">
      <c r="J778" s="4"/>
    </row>
    <row r="779" ht="15.75" customHeight="1">
      <c r="J779" s="4"/>
    </row>
    <row r="780" ht="15.75" customHeight="1">
      <c r="J780" s="4"/>
    </row>
    <row r="781" ht="15.75" customHeight="1">
      <c r="J781" s="4"/>
    </row>
    <row r="782" ht="15.75" customHeight="1">
      <c r="J782" s="4"/>
    </row>
    <row r="783" ht="15.75" customHeight="1">
      <c r="J783" s="4"/>
    </row>
    <row r="784" ht="15.75" customHeight="1">
      <c r="J784" s="4"/>
    </row>
    <row r="785" ht="15.75" customHeight="1">
      <c r="J785" s="4"/>
    </row>
    <row r="786" ht="15.75" customHeight="1">
      <c r="J786" s="4"/>
    </row>
    <row r="787" ht="15.75" customHeight="1">
      <c r="J787" s="4"/>
    </row>
    <row r="788" ht="15.75" customHeight="1">
      <c r="J788" s="4"/>
    </row>
    <row r="789" ht="15.75" customHeight="1">
      <c r="J789" s="4"/>
    </row>
    <row r="790" ht="15.75" customHeight="1">
      <c r="J790" s="4"/>
    </row>
    <row r="791" ht="15.75" customHeight="1">
      <c r="J791" s="4"/>
    </row>
    <row r="792" ht="15.75" customHeight="1">
      <c r="J792" s="4"/>
    </row>
    <row r="793" ht="15.75" customHeight="1">
      <c r="J793" s="4"/>
    </row>
    <row r="794" ht="15.75" customHeight="1">
      <c r="J794" s="4"/>
    </row>
    <row r="795" ht="15.75" customHeight="1">
      <c r="J795" s="4"/>
    </row>
    <row r="796" ht="15.75" customHeight="1">
      <c r="J796" s="4"/>
    </row>
    <row r="797" ht="15.75" customHeight="1">
      <c r="J797" s="4"/>
    </row>
    <row r="798" ht="15.75" customHeight="1">
      <c r="J798" s="4"/>
    </row>
    <row r="799" ht="15.75" customHeight="1">
      <c r="J799" s="4"/>
    </row>
    <row r="800" ht="15.75" customHeight="1">
      <c r="J800" s="4"/>
    </row>
    <row r="801" ht="15.75" customHeight="1">
      <c r="J801" s="4"/>
    </row>
    <row r="802" ht="15.75" customHeight="1">
      <c r="J802" s="4"/>
    </row>
    <row r="803" ht="15.75" customHeight="1">
      <c r="J803" s="4"/>
    </row>
    <row r="804" ht="15.75" customHeight="1">
      <c r="J804" s="4"/>
    </row>
    <row r="805" ht="15.75" customHeight="1">
      <c r="J805" s="4"/>
    </row>
    <row r="806" ht="15.75" customHeight="1">
      <c r="J806" s="4"/>
    </row>
    <row r="807" ht="15.75" customHeight="1">
      <c r="J807" s="4"/>
    </row>
    <row r="808" ht="15.75" customHeight="1">
      <c r="J808" s="4"/>
    </row>
    <row r="809" ht="15.75" customHeight="1">
      <c r="J809" s="4"/>
    </row>
    <row r="810" ht="15.75" customHeight="1">
      <c r="J810" s="4"/>
    </row>
    <row r="811" ht="15.75" customHeight="1">
      <c r="J811" s="4"/>
    </row>
    <row r="812" ht="15.75" customHeight="1">
      <c r="J812" s="4"/>
    </row>
    <row r="813" ht="15.75" customHeight="1">
      <c r="J813" s="4"/>
    </row>
    <row r="814" ht="15.75" customHeight="1">
      <c r="J814" s="4"/>
    </row>
    <row r="815" ht="15.75" customHeight="1">
      <c r="J815" s="4"/>
    </row>
    <row r="816" ht="15.75" customHeight="1">
      <c r="J816" s="4"/>
    </row>
    <row r="817" ht="15.75" customHeight="1">
      <c r="J817" s="4"/>
    </row>
    <row r="818" ht="15.75" customHeight="1">
      <c r="J818" s="4"/>
    </row>
    <row r="819" ht="15.75" customHeight="1">
      <c r="J819" s="4"/>
    </row>
    <row r="820" ht="15.75" customHeight="1">
      <c r="J820" s="4"/>
    </row>
    <row r="821" ht="15.75" customHeight="1">
      <c r="J821" s="4"/>
    </row>
    <row r="822" ht="15.75" customHeight="1">
      <c r="J822" s="4"/>
    </row>
    <row r="823" ht="15.75" customHeight="1">
      <c r="J823" s="4"/>
    </row>
    <row r="824" ht="15.75" customHeight="1">
      <c r="J824" s="4"/>
    </row>
    <row r="825" ht="15.75" customHeight="1">
      <c r="J825" s="4"/>
    </row>
    <row r="826" ht="15.75" customHeight="1">
      <c r="J826" s="4"/>
    </row>
    <row r="827" ht="15.75" customHeight="1">
      <c r="J827" s="4"/>
    </row>
    <row r="828" ht="15.75" customHeight="1">
      <c r="J828" s="4"/>
    </row>
    <row r="829" ht="15.75" customHeight="1">
      <c r="J829" s="4"/>
    </row>
    <row r="830" ht="15.75" customHeight="1">
      <c r="J830" s="4"/>
    </row>
    <row r="831" ht="15.75" customHeight="1">
      <c r="J831" s="4"/>
    </row>
    <row r="832" ht="15.75" customHeight="1">
      <c r="J832" s="4"/>
    </row>
    <row r="833" ht="15.75" customHeight="1">
      <c r="J833" s="4"/>
    </row>
    <row r="834" ht="15.75" customHeight="1">
      <c r="J834" s="4"/>
    </row>
    <row r="835" ht="15.75" customHeight="1">
      <c r="J835" s="4"/>
    </row>
    <row r="836" ht="15.75" customHeight="1">
      <c r="J836" s="4"/>
    </row>
    <row r="837" ht="15.75" customHeight="1">
      <c r="J837" s="4"/>
    </row>
    <row r="838" ht="15.75" customHeight="1">
      <c r="J838" s="4"/>
    </row>
    <row r="839" ht="15.75" customHeight="1">
      <c r="J839" s="4"/>
    </row>
    <row r="840" ht="15.75" customHeight="1">
      <c r="J840" s="4"/>
    </row>
    <row r="841" ht="15.75" customHeight="1">
      <c r="J841" s="4"/>
    </row>
    <row r="842" ht="15.75" customHeight="1">
      <c r="J842" s="4"/>
    </row>
    <row r="843" ht="15.75" customHeight="1">
      <c r="J843" s="4"/>
    </row>
    <row r="844" ht="15.75" customHeight="1">
      <c r="J844" s="4"/>
    </row>
    <row r="845" ht="15.75" customHeight="1">
      <c r="J845" s="4"/>
    </row>
    <row r="846" ht="15.75" customHeight="1">
      <c r="J846" s="4"/>
    </row>
    <row r="847" ht="15.75" customHeight="1">
      <c r="J847" s="4"/>
    </row>
    <row r="848" ht="15.75" customHeight="1">
      <c r="J848" s="4"/>
    </row>
    <row r="849" ht="15.75" customHeight="1">
      <c r="J849" s="4"/>
    </row>
    <row r="850" ht="15.75" customHeight="1">
      <c r="J850" s="4"/>
    </row>
    <row r="851" ht="15.75" customHeight="1">
      <c r="J851" s="4"/>
    </row>
    <row r="852" ht="15.75" customHeight="1">
      <c r="J852" s="4"/>
    </row>
    <row r="853" ht="15.75" customHeight="1">
      <c r="J853" s="4"/>
    </row>
    <row r="854" ht="15.75" customHeight="1">
      <c r="J854" s="4"/>
    </row>
    <row r="855" ht="15.75" customHeight="1">
      <c r="J855" s="4"/>
    </row>
    <row r="856" ht="15.75" customHeight="1">
      <c r="J856" s="4"/>
    </row>
    <row r="857" ht="15.75" customHeight="1">
      <c r="J857" s="4"/>
    </row>
    <row r="858" ht="15.75" customHeight="1">
      <c r="J858" s="4"/>
    </row>
    <row r="859" ht="15.75" customHeight="1">
      <c r="J859" s="4"/>
    </row>
    <row r="860" ht="15.75" customHeight="1">
      <c r="J860" s="4"/>
    </row>
    <row r="861" ht="15.75" customHeight="1">
      <c r="J861" s="4"/>
    </row>
    <row r="862" ht="15.75" customHeight="1">
      <c r="J862" s="4"/>
    </row>
    <row r="863" ht="15.75" customHeight="1">
      <c r="J863" s="4"/>
    </row>
    <row r="864" ht="15.75" customHeight="1">
      <c r="J864" s="4"/>
    </row>
    <row r="865" ht="15.75" customHeight="1">
      <c r="J865" s="4"/>
    </row>
    <row r="866" ht="15.75" customHeight="1">
      <c r="J866" s="4"/>
    </row>
    <row r="867" ht="15.75" customHeight="1">
      <c r="J867" s="4"/>
    </row>
    <row r="868" ht="15.75" customHeight="1">
      <c r="J868" s="4"/>
    </row>
    <row r="869" ht="15.75" customHeight="1">
      <c r="J869" s="4"/>
    </row>
    <row r="870" ht="15.75" customHeight="1">
      <c r="J870" s="4"/>
    </row>
    <row r="871" ht="15.75" customHeight="1">
      <c r="J871" s="4"/>
    </row>
    <row r="872" ht="15.75" customHeight="1">
      <c r="J872" s="4"/>
    </row>
    <row r="873" ht="15.75" customHeight="1">
      <c r="J873" s="4"/>
    </row>
    <row r="874" ht="15.75" customHeight="1">
      <c r="J874" s="4"/>
    </row>
    <row r="875" ht="15.75" customHeight="1">
      <c r="J875" s="4"/>
    </row>
    <row r="876" ht="15.75" customHeight="1">
      <c r="J876" s="4"/>
    </row>
    <row r="877" ht="15.75" customHeight="1">
      <c r="J877" s="4"/>
    </row>
    <row r="878" ht="15.75" customHeight="1">
      <c r="J878" s="4"/>
    </row>
    <row r="879" ht="15.75" customHeight="1">
      <c r="J879" s="4"/>
    </row>
    <row r="880" ht="15.75" customHeight="1">
      <c r="J880" s="4"/>
    </row>
    <row r="881" ht="15.75" customHeight="1">
      <c r="J881" s="4"/>
    </row>
    <row r="882" ht="15.75" customHeight="1">
      <c r="J882" s="4"/>
    </row>
    <row r="883" ht="15.75" customHeight="1">
      <c r="J883" s="4"/>
    </row>
    <row r="884" ht="15.75" customHeight="1">
      <c r="J884" s="4"/>
    </row>
    <row r="885" ht="15.75" customHeight="1">
      <c r="J885" s="4"/>
    </row>
    <row r="886" ht="15.75" customHeight="1">
      <c r="J886" s="4"/>
    </row>
    <row r="887" ht="15.75" customHeight="1">
      <c r="J887" s="4"/>
    </row>
    <row r="888" ht="15.75" customHeight="1">
      <c r="J888" s="4"/>
    </row>
    <row r="889" ht="15.75" customHeight="1">
      <c r="J889" s="4"/>
    </row>
    <row r="890" ht="15.75" customHeight="1">
      <c r="J890" s="4"/>
    </row>
    <row r="891" ht="15.75" customHeight="1">
      <c r="J891" s="4"/>
    </row>
    <row r="892" ht="15.75" customHeight="1">
      <c r="J892" s="4"/>
    </row>
    <row r="893" ht="15.75" customHeight="1">
      <c r="J893" s="4"/>
    </row>
    <row r="894" ht="15.75" customHeight="1">
      <c r="J894" s="4"/>
    </row>
    <row r="895" ht="15.75" customHeight="1">
      <c r="J895" s="4"/>
    </row>
    <row r="896" ht="15.75" customHeight="1">
      <c r="J896" s="4"/>
    </row>
    <row r="897" ht="15.75" customHeight="1">
      <c r="J897" s="4"/>
    </row>
    <row r="898" ht="15.75" customHeight="1">
      <c r="J898" s="4"/>
    </row>
    <row r="899" ht="15.75" customHeight="1">
      <c r="J899" s="4"/>
    </row>
    <row r="900" ht="15.75" customHeight="1">
      <c r="J900" s="4"/>
    </row>
    <row r="901" ht="15.75" customHeight="1">
      <c r="J901" s="4"/>
    </row>
    <row r="902" ht="15.75" customHeight="1">
      <c r="J902" s="4"/>
    </row>
    <row r="903" ht="15.75" customHeight="1">
      <c r="J903" s="4"/>
    </row>
    <row r="904" ht="15.75" customHeight="1">
      <c r="J904" s="4"/>
    </row>
    <row r="905" ht="15.75" customHeight="1">
      <c r="J905" s="4"/>
    </row>
    <row r="906" ht="15.75" customHeight="1">
      <c r="J906" s="4"/>
    </row>
    <row r="907" ht="15.75" customHeight="1">
      <c r="J907" s="4"/>
    </row>
    <row r="908" ht="15.75" customHeight="1">
      <c r="J908" s="4"/>
    </row>
    <row r="909" ht="15.75" customHeight="1">
      <c r="J909" s="4"/>
    </row>
    <row r="910" ht="15.75" customHeight="1">
      <c r="J910" s="4"/>
    </row>
    <row r="911" ht="15.75" customHeight="1">
      <c r="J911" s="4"/>
    </row>
    <row r="912" ht="15.75" customHeight="1">
      <c r="J912" s="4"/>
    </row>
    <row r="913" ht="15.75" customHeight="1">
      <c r="J913" s="4"/>
    </row>
    <row r="914" ht="15.75" customHeight="1">
      <c r="J914" s="4"/>
    </row>
    <row r="915" ht="15.75" customHeight="1">
      <c r="J915" s="4"/>
    </row>
    <row r="916" ht="15.75" customHeight="1">
      <c r="J916" s="4"/>
    </row>
    <row r="917" ht="15.75" customHeight="1">
      <c r="J917" s="4"/>
    </row>
    <row r="918" ht="15.75" customHeight="1">
      <c r="J918" s="4"/>
    </row>
    <row r="919" ht="15.75" customHeight="1">
      <c r="J919" s="4"/>
    </row>
    <row r="920" ht="15.75" customHeight="1">
      <c r="J920" s="4"/>
    </row>
    <row r="921" ht="15.75" customHeight="1">
      <c r="J921" s="4"/>
    </row>
    <row r="922" ht="15.75" customHeight="1">
      <c r="J922" s="4"/>
    </row>
    <row r="923" ht="15.75" customHeight="1">
      <c r="J923" s="4"/>
    </row>
    <row r="924" ht="15.75" customHeight="1">
      <c r="J924" s="4"/>
    </row>
    <row r="925" ht="15.75" customHeight="1">
      <c r="J925" s="4"/>
    </row>
    <row r="926" ht="15.75" customHeight="1">
      <c r="J926" s="4"/>
    </row>
    <row r="927" ht="15.75" customHeight="1">
      <c r="J927" s="4"/>
    </row>
    <row r="928" ht="15.75" customHeight="1">
      <c r="J928" s="4"/>
    </row>
    <row r="929" ht="15.75" customHeight="1">
      <c r="J929" s="4"/>
    </row>
    <row r="930" ht="15.75" customHeight="1">
      <c r="J930" s="4"/>
    </row>
    <row r="931" ht="15.75" customHeight="1">
      <c r="J931" s="4"/>
    </row>
    <row r="932" ht="15.75" customHeight="1">
      <c r="J932" s="4"/>
    </row>
    <row r="933" ht="15.75" customHeight="1">
      <c r="J933" s="4"/>
    </row>
    <row r="934" ht="15.75" customHeight="1">
      <c r="J934" s="4"/>
    </row>
    <row r="935" ht="15.75" customHeight="1">
      <c r="J935" s="4"/>
    </row>
    <row r="936" ht="15.75" customHeight="1">
      <c r="J936" s="4"/>
    </row>
    <row r="937" ht="15.75" customHeight="1">
      <c r="J937" s="4"/>
    </row>
    <row r="938" ht="15.75" customHeight="1">
      <c r="J938" s="4"/>
    </row>
    <row r="939" ht="15.75" customHeight="1">
      <c r="J939" s="4"/>
    </row>
    <row r="940" ht="15.75" customHeight="1">
      <c r="J940" s="4"/>
    </row>
    <row r="941" ht="15.75" customHeight="1">
      <c r="J941" s="4"/>
    </row>
    <row r="942" ht="15.75" customHeight="1">
      <c r="J942" s="4"/>
    </row>
    <row r="943" ht="15.75" customHeight="1">
      <c r="J943" s="4"/>
    </row>
    <row r="944" ht="15.75" customHeight="1">
      <c r="J944" s="4"/>
    </row>
    <row r="945" ht="15.75" customHeight="1">
      <c r="J945" s="4"/>
    </row>
    <row r="946" ht="15.75" customHeight="1">
      <c r="J946" s="4"/>
    </row>
    <row r="947" ht="15.75" customHeight="1">
      <c r="J947" s="4"/>
    </row>
    <row r="948" ht="15.75" customHeight="1">
      <c r="J948" s="4"/>
    </row>
    <row r="949" ht="15.75" customHeight="1">
      <c r="J949" s="4"/>
    </row>
    <row r="950" ht="15.75" customHeight="1">
      <c r="J950" s="4"/>
    </row>
    <row r="951" ht="15.75" customHeight="1">
      <c r="J951" s="4"/>
    </row>
    <row r="952" ht="15.75" customHeight="1">
      <c r="J952" s="4"/>
    </row>
    <row r="953" ht="15.75" customHeight="1">
      <c r="J953" s="4"/>
    </row>
    <row r="954" ht="15.75" customHeight="1">
      <c r="J954" s="4"/>
    </row>
    <row r="955" ht="15.75" customHeight="1">
      <c r="J955" s="4"/>
    </row>
    <row r="956" ht="15.75" customHeight="1">
      <c r="J956" s="4"/>
    </row>
    <row r="957" ht="15.75" customHeight="1">
      <c r="J957" s="4"/>
    </row>
    <row r="958" ht="15.75" customHeight="1">
      <c r="J958" s="4"/>
    </row>
    <row r="959" ht="15.75" customHeight="1">
      <c r="J959" s="4"/>
    </row>
    <row r="960" ht="15.75" customHeight="1">
      <c r="J960" s="4"/>
    </row>
    <row r="961" ht="15.75" customHeight="1">
      <c r="J961" s="4"/>
    </row>
    <row r="962" ht="15.75" customHeight="1">
      <c r="J962" s="4"/>
    </row>
    <row r="963" ht="15.75" customHeight="1">
      <c r="J963" s="4"/>
    </row>
    <row r="964" ht="15.75" customHeight="1">
      <c r="J964" s="4"/>
    </row>
    <row r="965" ht="15.75" customHeight="1">
      <c r="J965" s="4"/>
    </row>
    <row r="966" ht="15.75" customHeight="1">
      <c r="J966" s="4"/>
    </row>
    <row r="967" ht="15.75" customHeight="1">
      <c r="J967" s="4"/>
    </row>
    <row r="968" ht="15.75" customHeight="1">
      <c r="J968" s="4"/>
    </row>
    <row r="969" ht="15.75" customHeight="1">
      <c r="J969" s="4"/>
    </row>
    <row r="970" ht="15.75" customHeight="1">
      <c r="J970" s="4"/>
    </row>
    <row r="971" ht="15.75" customHeight="1">
      <c r="J971" s="4"/>
    </row>
    <row r="972" ht="15.75" customHeight="1">
      <c r="J972" s="4"/>
    </row>
    <row r="973" ht="15.75" customHeight="1">
      <c r="J973" s="4"/>
    </row>
    <row r="974" ht="15.75" customHeight="1">
      <c r="J974" s="4"/>
    </row>
    <row r="975" ht="15.75" customHeight="1">
      <c r="J975" s="4"/>
    </row>
    <row r="976" ht="15.75" customHeight="1">
      <c r="J976" s="4"/>
    </row>
    <row r="977" ht="15.75" customHeight="1">
      <c r="J977" s="4"/>
    </row>
    <row r="978" ht="15.75" customHeight="1">
      <c r="J978" s="4"/>
    </row>
    <row r="979" ht="15.75" customHeight="1">
      <c r="J979" s="4"/>
    </row>
    <row r="980" ht="15.75" customHeight="1">
      <c r="J980" s="4"/>
    </row>
    <row r="981" ht="15.75" customHeight="1">
      <c r="J981" s="4"/>
    </row>
    <row r="982" ht="15.75" customHeight="1">
      <c r="J982" s="4"/>
    </row>
    <row r="983" ht="15.75" customHeight="1">
      <c r="J983" s="4"/>
    </row>
    <row r="984" ht="15.75" customHeight="1">
      <c r="J984" s="4"/>
    </row>
    <row r="985" ht="15.75" customHeight="1">
      <c r="J985" s="4"/>
    </row>
    <row r="986" ht="15.75" customHeight="1">
      <c r="J986" s="4"/>
    </row>
    <row r="987" ht="15.75" customHeight="1">
      <c r="J987" s="4"/>
    </row>
    <row r="988" ht="15.75" customHeight="1">
      <c r="J988" s="4"/>
    </row>
    <row r="989" ht="15.75" customHeight="1">
      <c r="J989" s="4"/>
    </row>
    <row r="990" ht="15.75" customHeight="1">
      <c r="J990" s="4"/>
    </row>
    <row r="991" ht="15.75" customHeight="1">
      <c r="J991" s="4"/>
    </row>
    <row r="992" ht="15.75" customHeight="1">
      <c r="J992" s="4"/>
    </row>
    <row r="993" ht="15.75" customHeight="1">
      <c r="J993" s="4"/>
    </row>
    <row r="994" ht="15.75" customHeight="1">
      <c r="J994" s="4"/>
    </row>
    <row r="995" ht="15.75" customHeight="1">
      <c r="J995" s="4"/>
    </row>
    <row r="996" ht="15.75" customHeight="1">
      <c r="J996" s="4"/>
    </row>
    <row r="997" ht="15.75" customHeight="1">
      <c r="J997" s="4"/>
    </row>
    <row r="998" ht="15.75" customHeight="1">
      <c r="J998" s="4"/>
    </row>
    <row r="999" ht="15.75" customHeight="1">
      <c r="J999" s="4"/>
    </row>
    <row r="1000" ht="15.75" customHeight="1">
      <c r="J1000" s="4"/>
    </row>
  </sheetData>
  <customSheetViews>
    <customSheetView guid="{0CD8F4B0-CC08-4B30-8033-41FA16D52C8A}" filter="1" showAutoFilter="1">
      <autoFilter ref="$A$1:$K$23">
        <filterColumn colId="7">
          <customFilters>
            <customFilter val="*Abuja*"/>
          </customFilters>
        </filterColumn>
      </autoFilter>
    </customSheetView>
    <customSheetView guid="{B0A6D87F-0812-4852-B202-4422CBB8C77E}" filter="1" showAutoFilter="1">
      <autoFilter ref="$A$1:$K$23">
        <filterColumn colId="6">
          <customFilters>
            <customFilter val="*Management*"/>
          </customFilters>
        </filterColumn>
      </autoFilter>
    </customSheetView>
    <customSheetView guid="{383AC595-A16A-4466-9B40-2688F208861B}" filter="1" showAutoFilter="1">
      <autoFilter ref="$A$1:$K$23">
        <filterColumn colId="6">
          <customFilters>
            <customFilter val="*Conversion*"/>
          </customFilters>
        </filterColumn>
      </autoFilter>
    </customSheetView>
    <customSheetView guid="{277C53D6-A123-401C-A2CA-B7D2F7A9B9CC}" filter="1" showAutoFilter="1">
      <autoFilter ref="$A$1:$K$23">
        <filterColumn colId="6">
          <customFilters>
            <customFilter val="*Application*"/>
          </customFilters>
        </filterColumn>
      </autoFilter>
    </customSheetView>
    <customSheetView guid="{85CCDB83-F69E-43A4-9D34-020721B4EC4E}" filter="1" showAutoFilter="1">
      <autoFilter ref="$A$1:$K$23">
        <filterColumn colId="7">
          <customFilters>
            <customFilter val="*Benin*"/>
          </customFilters>
        </filterColumn>
      </autoFilter>
    </customSheetView>
    <customSheetView guid="{9B8A5177-8882-41E3-A635-5F79342B5180}" filter="1" showAutoFilter="1">
      <autoFilter ref="$A$1:$K$23">
        <filterColumn colId="6">
          <customFilters>
            <customFilter val="*IT*"/>
          </customFilters>
        </filterColumn>
      </autoFilter>
    </customSheetView>
    <customSheetView guid="{6EDEC001-9208-4114-8070-D36E7E58FE50}" filter="1" showAutoFilter="1">
      <autoFilter ref="$A$1:$K$23">
        <filterColumn colId="6">
          <customFilters>
            <customFilter val="*Marketing and sales*"/>
          </customFilters>
        </filterColumn>
      </autoFilter>
    </customSheetView>
    <customSheetView guid="{714AF1AB-C28E-4AF4-9EC7-92D8E8E4FA41}" filter="1" showAutoFilter="1">
      <autoFilter ref="$A$1:$K$23">
        <filterColumn colId="6">
          <customFilters>
            <customFilter val="*Marketing/applications*"/>
          </customFilters>
        </filterColumn>
      </autoFilter>
    </customSheetView>
  </customSheetViews>
  <conditionalFormatting sqref="F2:F50">
    <cfRule type="containsText" dxfId="0" priority="1" stopIfTrue="1" operator="containsText" text="Imuekemhe">
      <formula>NOT(ISERROR(SEARCH(("Imuekemhe"),(F2))))</formula>
    </cfRule>
  </conditionalFormatting>
  <conditionalFormatting sqref="F2:F50">
    <cfRule type="containsText" dxfId="0" priority="2" stopIfTrue="1" operator="containsText" text="Collins">
      <formula>NOT(ISERROR(SEARCH(("Collins"),(F2))))</formula>
    </cfRule>
  </conditionalFormatting>
  <conditionalFormatting sqref="F2:F50">
    <cfRule type="containsText" dxfId="1" priority="3" stopIfTrue="1" operator="containsText" text="Nwaiwu">
      <formula>NOT(ISERROR(SEARCH(("Nwaiwu"),(F2))))</formula>
    </cfRule>
  </conditionalFormatting>
  <conditionalFormatting sqref="F2:F50">
    <cfRule type="containsText" dxfId="2" priority="4" stopIfTrue="1" operator="containsText" text="Blessing">
      <formula>NOT(ISERROR(SEARCH(("Blessing"),(F2))))</formula>
    </cfRule>
  </conditionalFormatting>
  <conditionalFormatting sqref="F2:F50">
    <cfRule type="containsText" dxfId="3" priority="5" stopIfTrue="1" operator="containsText" text="Peter">
      <formula>NOT(ISERROR(SEARCH(("Peter"),(F2))))</formula>
    </cfRule>
  </conditionalFormatting>
  <conditionalFormatting sqref="F2:F50">
    <cfRule type="containsText" dxfId="4" priority="6" stopIfTrue="1" operator="containsText" text="Cletus">
      <formula>NOT(ISERROR(SEARCH(("Cletus"),(F2))))</formula>
    </cfRule>
  </conditionalFormatting>
  <conditionalFormatting sqref="F2:F50">
    <cfRule type="containsText" dxfId="5" priority="7" stopIfTrue="1" operator="containsText" text="Egbase">
      <formula>NOT(ISERROR(SEARCH(("Egbase"),(F2))))</formula>
    </cfRule>
  </conditionalFormatting>
  <conditionalFormatting sqref="F2:F50">
    <cfRule type="containsText" dxfId="6" priority="8" stopIfTrue="1" operator="containsText" text="Jumai">
      <formula>NOT(ISERROR(SEARCH(("Jumai"),(F2))))</formula>
    </cfRule>
  </conditionalFormatting>
  <conditionalFormatting sqref="F2:F50">
    <cfRule type="containsText" dxfId="7" priority="9" stopIfTrue="1" operator="containsText" text="Feridu">
      <formula>NOT(ISERROR(SEARCH(("Feridu"),(F2))))</formula>
    </cfRule>
  </conditionalFormatting>
  <conditionalFormatting sqref="F2:F50">
    <cfRule type="containsText" dxfId="8" priority="10" stopIfTrue="1" operator="containsText" text="Effiong">
      <formula>NOT(ISERROR(SEARCH(("Effiong"),(F2))))</formula>
    </cfRule>
  </conditionalFormatting>
  <dataValidations>
    <dataValidation type="list" allowBlank="1" sqref="J2:J1000">
      <formula1>"new and in good condition,fairly used in good condition,fairly used and in bad condition,faulty,damaged,old,need replacement"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38"/>
    <col customWidth="1" min="3" max="3" width="17.0"/>
    <col customWidth="1" min="4" max="4" width="17.25"/>
    <col customWidth="1" min="5" max="5" width="11.5"/>
    <col customWidth="1" min="6" max="6" width="15.75"/>
    <col customWidth="1" min="7" max="7" width="16.88"/>
    <col customWidth="1" min="8" max="8" width="17.38"/>
  </cols>
  <sheetData>
    <row r="1" ht="15.75" customHeight="1">
      <c r="A1" s="2" t="s">
        <v>0</v>
      </c>
      <c r="B1" s="2" t="s">
        <v>28</v>
      </c>
      <c r="C1" s="2" t="s">
        <v>29</v>
      </c>
      <c r="D1" s="2" t="s">
        <v>30</v>
      </c>
      <c r="E1" s="2" t="s">
        <v>32</v>
      </c>
      <c r="F1" s="2" t="s">
        <v>33</v>
      </c>
      <c r="G1" s="2" t="s">
        <v>34</v>
      </c>
      <c r="H1" s="2" t="s">
        <v>35</v>
      </c>
    </row>
    <row r="2" ht="15.75" customHeight="1">
      <c r="A2" s="6">
        <v>1.0</v>
      </c>
      <c r="B2" s="4" t="s">
        <v>36</v>
      </c>
      <c r="E2" s="4" t="s">
        <v>37</v>
      </c>
      <c r="F2" s="4" t="s">
        <v>38</v>
      </c>
    </row>
    <row r="3" ht="15.75" customHeight="1">
      <c r="A3" s="6">
        <v>2.0</v>
      </c>
      <c r="B3" s="4" t="s">
        <v>39</v>
      </c>
      <c r="C3" s="10" t="s">
        <v>23</v>
      </c>
      <c r="E3" s="4" t="s">
        <v>37</v>
      </c>
      <c r="F3" s="4" t="s">
        <v>38</v>
      </c>
      <c r="G3" s="10" t="s">
        <v>60</v>
      </c>
    </row>
    <row r="4" ht="15.75" customHeight="1">
      <c r="A4" s="6">
        <v>3.0</v>
      </c>
      <c r="B4" s="4" t="s">
        <v>69</v>
      </c>
      <c r="C4" s="10" t="s">
        <v>23</v>
      </c>
      <c r="E4" s="4" t="s">
        <v>37</v>
      </c>
      <c r="F4" s="4" t="s">
        <v>38</v>
      </c>
      <c r="G4" s="10" t="s">
        <v>60</v>
      </c>
    </row>
    <row r="5" ht="15.75" customHeight="1">
      <c r="A5" s="6">
        <v>4.0</v>
      </c>
      <c r="B5" s="4" t="s">
        <v>75</v>
      </c>
      <c r="C5" s="10" t="s">
        <v>23</v>
      </c>
      <c r="E5" s="4" t="s">
        <v>37</v>
      </c>
      <c r="F5" s="4" t="s">
        <v>38</v>
      </c>
      <c r="G5" s="10" t="s">
        <v>60</v>
      </c>
    </row>
    <row r="6" ht="15.75" customHeight="1">
      <c r="A6" s="6">
        <v>5.0</v>
      </c>
      <c r="B6" s="4" t="s">
        <v>79</v>
      </c>
      <c r="C6" s="10" t="s">
        <v>23</v>
      </c>
      <c r="E6" s="4" t="s">
        <v>37</v>
      </c>
      <c r="F6" s="4" t="s">
        <v>38</v>
      </c>
      <c r="G6" s="10" t="s">
        <v>60</v>
      </c>
    </row>
    <row r="7" ht="15.75" customHeight="1">
      <c r="A7" s="6">
        <v>6.0</v>
      </c>
      <c r="B7" s="4" t="s">
        <v>82</v>
      </c>
      <c r="C7" s="10" t="s">
        <v>23</v>
      </c>
      <c r="E7" s="4" t="s">
        <v>37</v>
      </c>
      <c r="F7" s="4" t="s">
        <v>38</v>
      </c>
      <c r="G7" s="10" t="s">
        <v>60</v>
      </c>
    </row>
    <row r="8" ht="15.75" customHeight="1">
      <c r="A8" s="6">
        <v>7.0</v>
      </c>
      <c r="B8" s="11" t="s">
        <v>85</v>
      </c>
      <c r="C8" s="17" t="s">
        <v>87</v>
      </c>
      <c r="D8" s="9"/>
      <c r="E8" s="11" t="s">
        <v>57</v>
      </c>
      <c r="F8" s="11" t="s">
        <v>91</v>
      </c>
      <c r="G8" s="11" t="s">
        <v>92</v>
      </c>
      <c r="H8" s="9"/>
    </row>
    <row r="9" ht="15.75" customHeight="1">
      <c r="A9" s="6">
        <v>8.0</v>
      </c>
      <c r="B9" s="11" t="s">
        <v>93</v>
      </c>
      <c r="C9" s="17" t="s">
        <v>94</v>
      </c>
      <c r="D9" s="9"/>
      <c r="E9" s="11" t="s">
        <v>57</v>
      </c>
      <c r="F9" s="11" t="s">
        <v>99</v>
      </c>
      <c r="G9" s="17" t="s">
        <v>103</v>
      </c>
      <c r="H9" s="9"/>
    </row>
    <row r="10" ht="15.75" customHeight="1">
      <c r="A10" s="6">
        <v>9.0</v>
      </c>
      <c r="B10" s="11" t="s">
        <v>110</v>
      </c>
      <c r="C10" s="17" t="s">
        <v>112</v>
      </c>
      <c r="D10" s="9"/>
      <c r="E10" s="11" t="s">
        <v>57</v>
      </c>
      <c r="F10" s="11" t="s">
        <v>99</v>
      </c>
      <c r="G10" s="17" t="s">
        <v>113</v>
      </c>
      <c r="H10" s="9"/>
    </row>
    <row r="11" ht="15.75" customHeight="1">
      <c r="A11" s="6">
        <v>10.0</v>
      </c>
      <c r="B11" s="11" t="s">
        <v>114</v>
      </c>
      <c r="C11" s="17" t="s">
        <v>116</v>
      </c>
      <c r="D11" s="9"/>
      <c r="E11" s="11" t="s">
        <v>74</v>
      </c>
      <c r="F11" s="11" t="s">
        <v>99</v>
      </c>
      <c r="G11" s="17" t="s">
        <v>130</v>
      </c>
      <c r="H11" s="9"/>
    </row>
    <row r="12">
      <c r="A12" s="6">
        <v>11.0</v>
      </c>
      <c r="B12" s="12" t="s">
        <v>135</v>
      </c>
      <c r="C12" s="12" t="s">
        <v>136</v>
      </c>
      <c r="D12" s="15" t="s">
        <v>137</v>
      </c>
      <c r="E12" s="11" t="s">
        <v>74</v>
      </c>
      <c r="F12" s="15" t="s">
        <v>138</v>
      </c>
      <c r="G12" s="12" t="s">
        <v>140</v>
      </c>
      <c r="H12" s="15" t="s">
        <v>141</v>
      </c>
    </row>
    <row r="13" ht="15.75" customHeight="1">
      <c r="A13" s="6">
        <v>12.0</v>
      </c>
      <c r="B13" s="24" t="s">
        <v>144</v>
      </c>
      <c r="C13" s="14"/>
      <c r="D13" s="15" t="s">
        <v>161</v>
      </c>
      <c r="E13" s="11" t="s">
        <v>74</v>
      </c>
      <c r="F13" s="15" t="s">
        <v>138</v>
      </c>
      <c r="G13" s="14"/>
      <c r="H13" s="15" t="s">
        <v>141</v>
      </c>
    </row>
    <row r="14">
      <c r="A14" s="6">
        <v>13.0</v>
      </c>
      <c r="B14" s="14"/>
      <c r="C14" s="14"/>
      <c r="D14" s="15" t="s">
        <v>164</v>
      </c>
      <c r="E14" s="11" t="s">
        <v>74</v>
      </c>
      <c r="F14" s="15" t="s">
        <v>138</v>
      </c>
      <c r="G14" s="14"/>
      <c r="H14" s="15" t="s">
        <v>141</v>
      </c>
    </row>
    <row r="15" ht="15.75" customHeight="1">
      <c r="A15" s="6">
        <v>14.0</v>
      </c>
      <c r="B15" s="24" t="s">
        <v>168</v>
      </c>
      <c r="C15" s="14"/>
      <c r="D15" s="15" t="s">
        <v>171</v>
      </c>
      <c r="E15" s="11" t="s">
        <v>74</v>
      </c>
      <c r="F15" s="15" t="s">
        <v>138</v>
      </c>
      <c r="G15" s="12" t="s">
        <v>172</v>
      </c>
      <c r="H15" s="15" t="s">
        <v>141</v>
      </c>
    </row>
    <row r="16" ht="15.75" customHeight="1">
      <c r="A16" s="6">
        <v>15.0</v>
      </c>
      <c r="B16" s="24" t="s">
        <v>173</v>
      </c>
      <c r="C16" s="14"/>
      <c r="D16" s="14"/>
      <c r="E16" s="11" t="s">
        <v>74</v>
      </c>
      <c r="F16" s="15" t="s">
        <v>138</v>
      </c>
      <c r="G16" s="14"/>
      <c r="H16" s="15" t="s">
        <v>141</v>
      </c>
    </row>
    <row r="17" ht="15.75" customHeight="1">
      <c r="A17" s="6">
        <v>16.0</v>
      </c>
      <c r="B17" s="24" t="s">
        <v>180</v>
      </c>
      <c r="C17" s="14"/>
      <c r="D17" s="14"/>
      <c r="E17" s="11" t="s">
        <v>74</v>
      </c>
      <c r="F17" s="15" t="s">
        <v>138</v>
      </c>
      <c r="G17" s="14"/>
      <c r="H17" s="15" t="s">
        <v>141</v>
      </c>
    </row>
    <row r="18" ht="15.75" customHeight="1">
      <c r="A18" s="6">
        <v>17.0</v>
      </c>
      <c r="B18" s="24" t="s">
        <v>190</v>
      </c>
      <c r="C18" s="12" t="s">
        <v>136</v>
      </c>
      <c r="D18" s="14"/>
      <c r="E18" s="11" t="s">
        <v>74</v>
      </c>
      <c r="F18" s="15" t="s">
        <v>138</v>
      </c>
      <c r="G18" s="12" t="s">
        <v>140</v>
      </c>
      <c r="H18" s="15" t="s">
        <v>141</v>
      </c>
    </row>
    <row r="19" ht="15.75" customHeight="1">
      <c r="A19" s="6">
        <v>18.0</v>
      </c>
      <c r="B19" s="24" t="s">
        <v>193</v>
      </c>
      <c r="C19" s="14"/>
      <c r="D19" s="14"/>
      <c r="E19" s="11" t="s">
        <v>74</v>
      </c>
      <c r="F19" s="15" t="s">
        <v>138</v>
      </c>
      <c r="G19" s="14"/>
      <c r="H19" s="15" t="s">
        <v>141</v>
      </c>
    </row>
    <row r="20" ht="15.75" customHeight="1">
      <c r="A20" s="6">
        <v>19.0</v>
      </c>
      <c r="B20" s="24" t="s">
        <v>204</v>
      </c>
      <c r="C20" s="12" t="s">
        <v>207</v>
      </c>
      <c r="D20" s="14"/>
      <c r="E20" s="11" t="s">
        <v>74</v>
      </c>
      <c r="F20" s="15" t="s">
        <v>138</v>
      </c>
      <c r="G20" s="12" t="s">
        <v>208</v>
      </c>
      <c r="H20" s="15" t="s">
        <v>141</v>
      </c>
    </row>
    <row r="21" ht="15.75" customHeight="1">
      <c r="A21" s="6">
        <v>20.0</v>
      </c>
      <c r="B21" s="15" t="s">
        <v>209</v>
      </c>
      <c r="C21" s="12" t="s">
        <v>136</v>
      </c>
      <c r="D21" s="14"/>
      <c r="E21" s="11" t="s">
        <v>74</v>
      </c>
      <c r="F21" s="15" t="s">
        <v>138</v>
      </c>
      <c r="G21" s="12" t="s">
        <v>140</v>
      </c>
      <c r="H21" s="15" t="s">
        <v>141</v>
      </c>
    </row>
    <row r="22" ht="15.75" customHeight="1">
      <c r="A22" s="6">
        <v>21.0</v>
      </c>
      <c r="B22" s="24" t="s">
        <v>210</v>
      </c>
      <c r="C22" s="14"/>
      <c r="D22" s="14"/>
      <c r="E22" s="11" t="s">
        <v>74</v>
      </c>
      <c r="F22" s="15" t="s">
        <v>138</v>
      </c>
      <c r="G22" s="14"/>
      <c r="H22" s="15" t="s">
        <v>141</v>
      </c>
    </row>
    <row r="23" ht="15.75" customHeight="1">
      <c r="A23" s="6">
        <v>22.0</v>
      </c>
      <c r="B23" s="24" t="s">
        <v>212</v>
      </c>
      <c r="C23" s="12" t="s">
        <v>136</v>
      </c>
      <c r="D23" s="14"/>
      <c r="E23" s="11" t="s">
        <v>74</v>
      </c>
      <c r="F23" s="15" t="s">
        <v>138</v>
      </c>
      <c r="G23" s="12" t="s">
        <v>215</v>
      </c>
      <c r="H23" s="15" t="s">
        <v>141</v>
      </c>
    </row>
    <row r="24" ht="15.75" customHeight="1">
      <c r="A24" s="6">
        <v>23.0</v>
      </c>
      <c r="B24" s="15" t="s">
        <v>195</v>
      </c>
      <c r="C24" s="12" t="s">
        <v>136</v>
      </c>
      <c r="D24" s="14"/>
      <c r="E24" s="11" t="s">
        <v>74</v>
      </c>
      <c r="F24" s="15" t="s">
        <v>138</v>
      </c>
      <c r="G24" s="15" t="s">
        <v>92</v>
      </c>
      <c r="H24" s="15" t="s">
        <v>141</v>
      </c>
    </row>
    <row r="25" ht="15.75" customHeight="1">
      <c r="A25" s="6">
        <v>24.0</v>
      </c>
      <c r="B25" s="8" t="s">
        <v>218</v>
      </c>
      <c r="C25" s="8" t="s">
        <v>219</v>
      </c>
      <c r="D25" s="9"/>
      <c r="E25" s="8" t="s">
        <v>101</v>
      </c>
      <c r="F25" s="8" t="s">
        <v>220</v>
      </c>
      <c r="G25" s="8" t="s">
        <v>172</v>
      </c>
      <c r="H25" s="9"/>
    </row>
    <row r="26" ht="15.75" customHeight="1">
      <c r="A26" s="6">
        <v>25.0</v>
      </c>
      <c r="B26" s="8" t="s">
        <v>221</v>
      </c>
      <c r="C26" s="23" t="s">
        <v>222</v>
      </c>
      <c r="D26" s="9"/>
      <c r="E26" s="8" t="s">
        <v>101</v>
      </c>
      <c r="F26" s="8" t="s">
        <v>225</v>
      </c>
      <c r="G26" s="8" t="s">
        <v>226</v>
      </c>
      <c r="H26" s="9"/>
    </row>
    <row r="27" ht="15.75" customHeight="1">
      <c r="A27" s="6">
        <v>26.0</v>
      </c>
      <c r="B27" s="8" t="s">
        <v>227</v>
      </c>
      <c r="C27" s="8" t="s">
        <v>228</v>
      </c>
      <c r="D27" s="9"/>
      <c r="E27" s="8" t="s">
        <v>101</v>
      </c>
      <c r="F27" s="8" t="s">
        <v>229</v>
      </c>
      <c r="G27" s="23" t="s">
        <v>231</v>
      </c>
      <c r="H27" s="9"/>
    </row>
    <row r="28" ht="15.75" customHeight="1">
      <c r="A28" s="6">
        <v>27.0</v>
      </c>
      <c r="B28" s="8" t="s">
        <v>36</v>
      </c>
      <c r="C28" s="23" t="s">
        <v>233</v>
      </c>
      <c r="D28" s="9"/>
      <c r="E28" s="22" t="s">
        <v>119</v>
      </c>
      <c r="F28" s="22" t="s">
        <v>138</v>
      </c>
      <c r="G28" s="22" t="s">
        <v>208</v>
      </c>
      <c r="H28" s="9"/>
    </row>
    <row r="29" ht="15.75" customHeight="1">
      <c r="A29" s="6">
        <v>28.0</v>
      </c>
      <c r="B29" s="8" t="s">
        <v>39</v>
      </c>
      <c r="C29" s="8" t="s">
        <v>234</v>
      </c>
      <c r="D29" s="9"/>
      <c r="E29" s="8" t="s">
        <v>119</v>
      </c>
      <c r="F29" s="8" t="s">
        <v>138</v>
      </c>
      <c r="G29" s="8" t="s">
        <v>208</v>
      </c>
      <c r="H29" s="9"/>
    </row>
    <row r="30" ht="15.75" customHeight="1">
      <c r="A30" s="6">
        <v>29.0</v>
      </c>
      <c r="B30" s="8" t="s">
        <v>69</v>
      </c>
      <c r="C30" s="8" t="s">
        <v>234</v>
      </c>
      <c r="D30" s="9"/>
      <c r="E30" s="8" t="s">
        <v>119</v>
      </c>
      <c r="F30" s="8" t="s">
        <v>138</v>
      </c>
      <c r="G30" s="8" t="s">
        <v>208</v>
      </c>
      <c r="H30" s="9"/>
    </row>
    <row r="31" ht="15.75" customHeight="1">
      <c r="A31" s="6">
        <v>30.0</v>
      </c>
      <c r="B31" s="22" t="s">
        <v>93</v>
      </c>
      <c r="C31" s="8" t="s">
        <v>234</v>
      </c>
      <c r="D31" s="9"/>
      <c r="E31" s="8" t="s">
        <v>119</v>
      </c>
      <c r="F31" s="8" t="s">
        <v>138</v>
      </c>
      <c r="G31" s="8" t="s">
        <v>208</v>
      </c>
      <c r="H31" s="9"/>
    </row>
    <row r="32" ht="15.75" customHeight="1">
      <c r="A32" s="6">
        <v>31.0</v>
      </c>
      <c r="B32" s="22" t="s">
        <v>237</v>
      </c>
      <c r="C32" s="8" t="s">
        <v>234</v>
      </c>
      <c r="D32" s="9"/>
      <c r="E32" s="8" t="s">
        <v>119</v>
      </c>
      <c r="F32" s="8" t="s">
        <v>138</v>
      </c>
      <c r="G32" s="8" t="s">
        <v>208</v>
      </c>
      <c r="H32" s="9"/>
    </row>
    <row r="33" ht="15.75" customHeight="1">
      <c r="A33" s="6">
        <v>32.0</v>
      </c>
      <c r="B33" s="8" t="s">
        <v>202</v>
      </c>
      <c r="C33" s="26" t="s">
        <v>239</v>
      </c>
      <c r="E33" s="8" t="s">
        <v>131</v>
      </c>
      <c r="F33" s="9"/>
      <c r="G33" s="8" t="s">
        <v>242</v>
      </c>
      <c r="H33" s="9"/>
    </row>
    <row r="34" ht="15.75" customHeight="1">
      <c r="A34" s="6">
        <v>33.0</v>
      </c>
      <c r="B34" s="8" t="s">
        <v>110</v>
      </c>
      <c r="C34" s="26" t="s">
        <v>243</v>
      </c>
      <c r="E34" s="8" t="s">
        <v>131</v>
      </c>
      <c r="F34" s="9"/>
      <c r="G34" s="8" t="s">
        <v>242</v>
      </c>
      <c r="H34" s="9"/>
    </row>
    <row r="35" ht="15.75" customHeight="1">
      <c r="A35" s="6">
        <v>34.0</v>
      </c>
      <c r="B35" s="8" t="s">
        <v>245</v>
      </c>
      <c r="C35" s="26" t="s">
        <v>247</v>
      </c>
      <c r="E35" s="8" t="s">
        <v>131</v>
      </c>
      <c r="F35" s="9"/>
      <c r="G35" s="26" t="s">
        <v>248</v>
      </c>
      <c r="H35" s="9"/>
    </row>
    <row r="36" ht="15.75" customHeight="1">
      <c r="A36" s="6">
        <v>35.0</v>
      </c>
      <c r="B36" s="8" t="s">
        <v>249</v>
      </c>
      <c r="C36" s="8" t="s">
        <v>250</v>
      </c>
      <c r="D36" s="9"/>
      <c r="E36" s="8" t="s">
        <v>131</v>
      </c>
      <c r="F36" s="9"/>
      <c r="G36" s="8" t="s">
        <v>251</v>
      </c>
      <c r="H36" s="9"/>
    </row>
    <row r="37" ht="15.75" customHeight="1">
      <c r="A37" s="6">
        <v>36.0</v>
      </c>
      <c r="B37" s="8" t="s">
        <v>252</v>
      </c>
      <c r="C37" s="8" t="s">
        <v>253</v>
      </c>
      <c r="D37" s="9"/>
      <c r="E37" s="8" t="s">
        <v>131</v>
      </c>
      <c r="F37" s="9"/>
      <c r="G37" s="26" t="s">
        <v>254</v>
      </c>
      <c r="H37" s="9"/>
    </row>
    <row r="38" ht="15.75" customHeight="1">
      <c r="A38" s="6">
        <v>37.0</v>
      </c>
      <c r="B38" s="9"/>
      <c r="C38" s="9"/>
      <c r="D38" s="8" t="s">
        <v>256</v>
      </c>
      <c r="E38" s="8" t="s">
        <v>131</v>
      </c>
      <c r="F38" s="9"/>
      <c r="G38" s="8" t="s">
        <v>257</v>
      </c>
      <c r="H38" s="9"/>
    </row>
    <row r="39" ht="15.75" customHeight="1">
      <c r="A39" s="6">
        <v>38.0</v>
      </c>
      <c r="B39" s="9"/>
      <c r="C39" s="9"/>
      <c r="D39" s="8" t="s">
        <v>258</v>
      </c>
      <c r="E39" s="8" t="s">
        <v>131</v>
      </c>
      <c r="F39" s="9"/>
      <c r="G39" s="8" t="s">
        <v>257</v>
      </c>
      <c r="H39" s="9"/>
    </row>
    <row r="40" ht="15.75" customHeight="1">
      <c r="A40" s="6">
        <v>39.0</v>
      </c>
      <c r="B40" s="9"/>
      <c r="C40" s="9"/>
      <c r="D40" s="8" t="s">
        <v>259</v>
      </c>
      <c r="E40" s="8" t="s">
        <v>131</v>
      </c>
      <c r="F40" s="9"/>
      <c r="G40" s="9"/>
      <c r="H40" s="9"/>
    </row>
    <row r="41" ht="15.75" customHeight="1">
      <c r="A41" s="6">
        <v>40.0</v>
      </c>
      <c r="B41" s="8" t="s">
        <v>189</v>
      </c>
      <c r="C41" s="23" t="s">
        <v>262</v>
      </c>
      <c r="D41" s="9"/>
      <c r="E41" s="8" t="s">
        <v>265</v>
      </c>
      <c r="F41" s="8" t="s">
        <v>138</v>
      </c>
      <c r="G41" s="8" t="s">
        <v>266</v>
      </c>
      <c r="H41" s="8" t="s">
        <v>267</v>
      </c>
    </row>
    <row r="42" ht="15.75" customHeight="1">
      <c r="A42" s="6">
        <v>41.0</v>
      </c>
      <c r="B42" s="8" t="s">
        <v>93</v>
      </c>
      <c r="C42" s="23" t="s">
        <v>268</v>
      </c>
      <c r="D42" s="9"/>
      <c r="E42" s="8" t="s">
        <v>265</v>
      </c>
      <c r="F42" s="8" t="s">
        <v>181</v>
      </c>
      <c r="G42" s="20">
        <v>46065.0</v>
      </c>
      <c r="H42" s="8" t="s">
        <v>189</v>
      </c>
    </row>
    <row r="43" ht="15.75" customHeight="1">
      <c r="A43" s="6">
        <v>42.0</v>
      </c>
      <c r="B43" s="8" t="s">
        <v>269</v>
      </c>
      <c r="C43" s="23" t="s">
        <v>271</v>
      </c>
      <c r="D43" s="9"/>
      <c r="E43" s="8" t="s">
        <v>265</v>
      </c>
      <c r="F43" s="8" t="s">
        <v>138</v>
      </c>
      <c r="G43" s="8" t="s">
        <v>272</v>
      </c>
      <c r="H43" s="8" t="s">
        <v>189</v>
      </c>
    </row>
    <row r="44" ht="15.75" customHeight="1">
      <c r="A44" s="6">
        <v>43.0</v>
      </c>
      <c r="B44" s="8" t="s">
        <v>195</v>
      </c>
      <c r="C44" s="23" t="s">
        <v>273</v>
      </c>
      <c r="D44" s="9"/>
      <c r="E44" s="8" t="s">
        <v>265</v>
      </c>
      <c r="F44" s="8" t="s">
        <v>138</v>
      </c>
      <c r="G44" s="8" t="s">
        <v>92</v>
      </c>
      <c r="H44" s="8" t="s">
        <v>189</v>
      </c>
    </row>
    <row r="45" ht="15.75" customHeight="1">
      <c r="A45" s="6">
        <v>44.0</v>
      </c>
      <c r="B45" s="8" t="s">
        <v>274</v>
      </c>
      <c r="C45" s="23" t="s">
        <v>275</v>
      </c>
      <c r="D45" s="9"/>
      <c r="E45" s="8" t="s">
        <v>265</v>
      </c>
      <c r="F45" s="8" t="s">
        <v>138</v>
      </c>
      <c r="G45" s="8" t="s">
        <v>276</v>
      </c>
      <c r="H45" s="8" t="s">
        <v>189</v>
      </c>
    </row>
    <row r="46" ht="15.75" customHeight="1">
      <c r="A46" s="6">
        <v>45.0</v>
      </c>
      <c r="B46" s="8" t="s">
        <v>114</v>
      </c>
      <c r="C46" s="8" t="s">
        <v>277</v>
      </c>
      <c r="D46" s="9"/>
      <c r="E46" s="8" t="s">
        <v>265</v>
      </c>
      <c r="F46" s="8" t="s">
        <v>138</v>
      </c>
      <c r="G46" s="8" t="s">
        <v>278</v>
      </c>
      <c r="H46" s="8" t="s">
        <v>189</v>
      </c>
    </row>
    <row r="47" ht="15.75" customHeight="1">
      <c r="A47" s="6">
        <v>46.0</v>
      </c>
      <c r="B47" s="8" t="s">
        <v>249</v>
      </c>
      <c r="C47" s="8" t="s">
        <v>250</v>
      </c>
      <c r="D47" s="9"/>
      <c r="E47" s="8" t="s">
        <v>265</v>
      </c>
      <c r="F47" s="8" t="s">
        <v>138</v>
      </c>
      <c r="G47" s="8" t="s">
        <v>251</v>
      </c>
      <c r="H47" s="8" t="s">
        <v>189</v>
      </c>
    </row>
    <row r="48" ht="15.75" customHeight="1">
      <c r="A48" s="6">
        <v>47.0</v>
      </c>
      <c r="B48" s="8" t="s">
        <v>252</v>
      </c>
      <c r="C48" s="8" t="s">
        <v>279</v>
      </c>
      <c r="D48" s="9"/>
      <c r="E48" s="8" t="s">
        <v>265</v>
      </c>
      <c r="F48" s="8" t="s">
        <v>138</v>
      </c>
      <c r="G48" s="20">
        <v>46065.0</v>
      </c>
      <c r="H48" s="8" t="s">
        <v>189</v>
      </c>
    </row>
    <row r="49" ht="15.75" customHeight="1">
      <c r="A49" s="6">
        <v>48.0</v>
      </c>
      <c r="B49" s="8" t="s">
        <v>245</v>
      </c>
      <c r="C49" s="8" t="s">
        <v>280</v>
      </c>
      <c r="D49" s="9"/>
      <c r="E49" s="8" t="s">
        <v>265</v>
      </c>
      <c r="F49" s="8" t="s">
        <v>138</v>
      </c>
      <c r="G49" s="8" t="s">
        <v>60</v>
      </c>
      <c r="H49" s="8" t="s">
        <v>189</v>
      </c>
    </row>
    <row r="50" ht="15.75" customHeight="1">
      <c r="A50" s="8">
        <v>49.0</v>
      </c>
      <c r="B50" s="22" t="s">
        <v>281</v>
      </c>
      <c r="C50" s="23" t="s">
        <v>282</v>
      </c>
      <c r="D50" s="9"/>
      <c r="E50" s="22" t="s">
        <v>283</v>
      </c>
      <c r="F50" s="22" t="s">
        <v>186</v>
      </c>
      <c r="G50" s="22" t="s">
        <v>92</v>
      </c>
      <c r="H50" s="22" t="s">
        <v>284</v>
      </c>
    </row>
    <row r="51" ht="15.75" customHeight="1">
      <c r="A51" s="8">
        <v>50.0</v>
      </c>
      <c r="B51" s="22" t="s">
        <v>202</v>
      </c>
      <c r="C51" s="23" t="s">
        <v>285</v>
      </c>
      <c r="D51" s="9"/>
      <c r="E51" s="8" t="s">
        <v>283</v>
      </c>
      <c r="F51" s="9"/>
      <c r="G51" s="22" t="s">
        <v>286</v>
      </c>
      <c r="H51" s="9"/>
    </row>
    <row r="52" ht="15.75" customHeight="1">
      <c r="A52" s="8">
        <v>51.0</v>
      </c>
      <c r="B52" s="22" t="s">
        <v>287</v>
      </c>
      <c r="C52" s="23" t="s">
        <v>288</v>
      </c>
      <c r="D52" s="9"/>
      <c r="E52" s="8" t="s">
        <v>283</v>
      </c>
      <c r="F52" s="9"/>
      <c r="G52" s="22" t="s">
        <v>286</v>
      </c>
      <c r="H52" s="9"/>
    </row>
    <row r="53" ht="15.75" customHeight="1">
      <c r="A53" s="8">
        <v>52.0</v>
      </c>
      <c r="B53" s="22" t="s">
        <v>82</v>
      </c>
      <c r="C53" s="23" t="s">
        <v>289</v>
      </c>
      <c r="D53" s="9"/>
      <c r="E53" s="8" t="s">
        <v>283</v>
      </c>
      <c r="F53" s="9"/>
      <c r="G53" s="8" t="s">
        <v>286</v>
      </c>
      <c r="H53" s="9"/>
    </row>
    <row r="54" ht="15.75" customHeight="1">
      <c r="A54" s="8">
        <v>53.0</v>
      </c>
      <c r="B54" s="22" t="s">
        <v>290</v>
      </c>
      <c r="C54" s="32" t="s">
        <v>280</v>
      </c>
      <c r="D54" s="9"/>
      <c r="E54" s="22" t="s">
        <v>283</v>
      </c>
      <c r="F54" s="9"/>
      <c r="G54" s="32" t="s">
        <v>60</v>
      </c>
      <c r="H54" s="9"/>
    </row>
    <row r="55" ht="15.75" customHeight="1">
      <c r="A55" s="8">
        <v>54.0</v>
      </c>
      <c r="B55" s="22" t="s">
        <v>249</v>
      </c>
      <c r="C55" s="33" t="s">
        <v>250</v>
      </c>
      <c r="D55" s="9"/>
      <c r="E55" s="8" t="s">
        <v>283</v>
      </c>
      <c r="F55" s="9"/>
      <c r="G55" s="32" t="s">
        <v>291</v>
      </c>
      <c r="H55" s="9"/>
    </row>
    <row r="56" ht="15.75" customHeight="1">
      <c r="A56" s="12">
        <v>55.0</v>
      </c>
      <c r="B56" s="15" t="s">
        <v>252</v>
      </c>
      <c r="C56" s="12" t="s">
        <v>292</v>
      </c>
      <c r="D56" s="14"/>
      <c r="E56" s="8" t="s">
        <v>283</v>
      </c>
      <c r="F56" s="14"/>
      <c r="G56" s="21" t="s">
        <v>293</v>
      </c>
      <c r="H56" s="14"/>
    </row>
    <row r="57" ht="15.75" customHeight="1">
      <c r="A57" s="12">
        <v>56.0</v>
      </c>
      <c r="B57" s="15" t="s">
        <v>294</v>
      </c>
      <c r="C57" s="21" t="s">
        <v>295</v>
      </c>
      <c r="D57" s="14"/>
      <c r="E57" s="8" t="s">
        <v>283</v>
      </c>
      <c r="F57" s="14"/>
      <c r="G57" s="12" t="s">
        <v>60</v>
      </c>
      <c r="H57" s="1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customSheetViews>
    <customSheetView guid="{526C70D8-2A8D-4F20-8458-27C9BCA5B1A2}" filter="1" showAutoFilter="1">
      <autoFilter ref="$A$1:$H$57">
        <filterColumn colId="4">
          <customFilters>
            <customFilter val="*Cletus*"/>
          </customFilters>
        </filterColumn>
      </autoFilter>
    </customSheetView>
    <customSheetView guid="{4FC43E10-0122-4A59-873A-F52AE7F7B1CC}" filter="1" showAutoFilter="1">
      <autoFilter ref="$A$1:$H$57">
        <filterColumn colId="4">
          <customFilters>
            <customFilter val="*Collins*"/>
          </customFilters>
        </filterColumn>
      </autoFilter>
    </customSheetView>
    <customSheetView guid="{93897C6C-EB8E-4A06-89F4-AA24A928C324}" filter="1" showAutoFilter="1">
      <autoFilter ref="$A$1:$H$57">
        <filterColumn colId="4">
          <customFilters>
            <customFilter val="*Effiong*"/>
          </customFilters>
        </filterColumn>
      </autoFilter>
    </customSheetView>
    <customSheetView guid="{2912504F-3869-4282-9BD1-0E8CFB9F7DEF}" filter="1" showAutoFilter="1">
      <autoFilter ref="$A$1:$H$57">
        <filterColumn colId="4">
          <customFilters>
            <customFilter val="*Peter*"/>
          </customFilters>
        </filterColumn>
      </autoFilter>
    </customSheetView>
  </customSheetViews>
  <mergeCells count="3">
    <mergeCell ref="C33:D33"/>
    <mergeCell ref="C34:D34"/>
    <mergeCell ref="C35:D35"/>
  </mergeCells>
  <conditionalFormatting sqref="E2:E95">
    <cfRule type="containsText" dxfId="0" priority="1" stopIfTrue="1" operator="containsText" text="Imuekemhe">
      <formula>NOT(ISERROR(SEARCH(("Imuekemhe"),(E2))))</formula>
    </cfRule>
  </conditionalFormatting>
  <conditionalFormatting sqref="E2:E95">
    <cfRule type="containsText" dxfId="0" priority="2" stopIfTrue="1" operator="containsText" text="Collins">
      <formula>NOT(ISERROR(SEARCH(("Collins"),(E2))))</formula>
    </cfRule>
  </conditionalFormatting>
  <conditionalFormatting sqref="E2:E95">
    <cfRule type="containsText" dxfId="1" priority="3" stopIfTrue="1" operator="containsText" text="Nwaiwu">
      <formula>NOT(ISERROR(SEARCH(("Nwaiwu"),(E2))))</formula>
    </cfRule>
  </conditionalFormatting>
  <conditionalFormatting sqref="E2:E95">
    <cfRule type="containsText" dxfId="2" priority="4" stopIfTrue="1" operator="containsText" text="Blessing">
      <formula>NOT(ISERROR(SEARCH(("Blessing"),(E2))))</formula>
    </cfRule>
  </conditionalFormatting>
  <conditionalFormatting sqref="E2:E95">
    <cfRule type="containsText" dxfId="3" priority="5" stopIfTrue="1" operator="containsText" text="Peter">
      <formula>NOT(ISERROR(SEARCH(("Peter"),(E2))))</formula>
    </cfRule>
  </conditionalFormatting>
  <conditionalFormatting sqref="E2:E95">
    <cfRule type="containsText" dxfId="4" priority="6" stopIfTrue="1" operator="containsText" text="Cletus">
      <formula>NOT(ISERROR(SEARCH(("Cletus"),(E2))))</formula>
    </cfRule>
  </conditionalFormatting>
  <conditionalFormatting sqref="E2:E95">
    <cfRule type="containsText" dxfId="5" priority="7" stopIfTrue="1" operator="containsText" text="Egbase">
      <formula>NOT(ISERROR(SEARCH(("Egbase"),(E2))))</formula>
    </cfRule>
  </conditionalFormatting>
  <conditionalFormatting sqref="E2:E95">
    <cfRule type="containsText" dxfId="6" priority="8" stopIfTrue="1" operator="containsText" text="Jumai">
      <formula>NOT(ISERROR(SEARCH(("Jumai"),(E2))))</formula>
    </cfRule>
  </conditionalFormatting>
  <conditionalFormatting sqref="E2:E95">
    <cfRule type="containsText" dxfId="7" priority="9" stopIfTrue="1" operator="containsText" text="Feridu">
      <formula>NOT(ISERROR(SEARCH(("Feridu"),(E2))))</formula>
    </cfRule>
  </conditionalFormatting>
  <conditionalFormatting sqref="E2:E95">
    <cfRule type="containsText" dxfId="8" priority="10" stopIfTrue="1" operator="containsText" text="Effiong">
      <formula>NOT(ISERROR(SEARCH(("Effiong"),(E2))))</formula>
    </cfRule>
  </conditionalFormatting>
  <hyperlinks>
    <hyperlink r:id="rId1" ref="C3"/>
    <hyperlink r:id="rId2" ref="G3"/>
    <hyperlink r:id="rId3" ref="C4"/>
    <hyperlink r:id="rId4" ref="C5"/>
    <hyperlink r:id="rId5" ref="C6"/>
    <hyperlink r:id="rId6" ref="C7"/>
    <hyperlink r:id="rId7" ref="C8"/>
    <hyperlink r:id="rId8" ref="C9"/>
    <hyperlink r:id="rId9" ref="G9"/>
    <hyperlink r:id="rId10" ref="C10"/>
    <hyperlink r:id="rId11" ref="G10"/>
    <hyperlink r:id="rId12" ref="C11"/>
    <hyperlink r:id="rId13" ref="G11"/>
    <hyperlink r:id="rId14" ref="B13"/>
    <hyperlink r:id="rId15" ref="B15"/>
    <hyperlink r:id="rId16" ref="B16"/>
    <hyperlink r:id="rId17" ref="B17"/>
    <hyperlink r:id="rId18" ref="B18"/>
    <hyperlink r:id="rId19" ref="B19"/>
    <hyperlink r:id="rId20" ref="B20"/>
    <hyperlink r:id="rId21" ref="B22"/>
    <hyperlink r:id="rId22" ref="B23"/>
    <hyperlink r:id="rId23" ref="C26"/>
    <hyperlink r:id="rId24" ref="G27"/>
    <hyperlink r:id="rId25" ref="C28"/>
    <hyperlink r:id="rId26" ref="C33"/>
    <hyperlink r:id="rId27" ref="C34"/>
    <hyperlink r:id="rId28" ref="C35"/>
    <hyperlink r:id="rId29" ref="G35"/>
    <hyperlink r:id="rId30" ref="G37"/>
    <hyperlink r:id="rId31" ref="C41"/>
    <hyperlink r:id="rId32" ref="C42"/>
    <hyperlink r:id="rId33" ref="C43"/>
    <hyperlink r:id="rId34" ref="C44"/>
    <hyperlink r:id="rId35" ref="C45"/>
    <hyperlink r:id="rId36" ref="C50"/>
    <hyperlink r:id="rId37" ref="C51"/>
    <hyperlink r:id="rId38" ref="C52"/>
    <hyperlink r:id="rId39" ref="C53"/>
    <hyperlink r:id="rId40" ref="G56"/>
    <hyperlink r:id="rId41" ref="C57"/>
  </hyperlinks>
  <printOptions/>
  <pageMargins bottom="0.75" footer="0.0" header="0.0" left="0.7" right="0.7" top="0.75"/>
  <pageSetup orientation="landscape"/>
  <drawing r:id="rId4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6.25"/>
    <col customWidth="1" min="3" max="3" width="14.38"/>
    <col customWidth="1" min="4" max="4" width="19.25"/>
    <col customWidth="1" min="5" max="5" width="14.88"/>
    <col customWidth="1" min="6" max="6" width="9.63"/>
    <col customWidth="1" min="7" max="7" width="15.75"/>
    <col customWidth="1" min="8" max="8" width="12.13"/>
  </cols>
  <sheetData>
    <row r="1" ht="15.75" customHeight="1">
      <c r="A1" s="2" t="s">
        <v>0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2</v>
      </c>
      <c r="G1" s="2" t="s">
        <v>46</v>
      </c>
      <c r="H1" s="2" t="s">
        <v>47</v>
      </c>
    </row>
    <row r="2" ht="15.75" customHeight="1">
      <c r="A2" s="5">
        <v>1.0</v>
      </c>
      <c r="B2" s="4" t="s">
        <v>48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ht="15.75" customHeight="1">
      <c r="A3" s="5">
        <v>2.0</v>
      </c>
      <c r="B3" s="4" t="s">
        <v>58</v>
      </c>
      <c r="D3" s="4" t="s">
        <v>62</v>
      </c>
      <c r="E3" s="4" t="s">
        <v>51</v>
      </c>
      <c r="F3" s="4" t="s">
        <v>63</v>
      </c>
      <c r="H3" s="4" t="s">
        <v>64</v>
      </c>
    </row>
    <row r="4" ht="15.75" customHeight="1">
      <c r="A4" s="5">
        <v>3.0</v>
      </c>
      <c r="B4" s="4" t="s">
        <v>66</v>
      </c>
      <c r="D4" s="4" t="s">
        <v>67</v>
      </c>
      <c r="E4" s="4" t="s">
        <v>51</v>
      </c>
      <c r="F4" s="4" t="s">
        <v>68</v>
      </c>
      <c r="H4" s="4" t="s">
        <v>64</v>
      </c>
    </row>
    <row r="5" ht="15.75" customHeight="1">
      <c r="A5" s="5">
        <v>4.0</v>
      </c>
      <c r="B5" s="11" t="s">
        <v>71</v>
      </c>
      <c r="C5" s="11" t="s">
        <v>73</v>
      </c>
      <c r="D5" s="17" t="s">
        <v>80</v>
      </c>
      <c r="E5" s="17" t="s">
        <v>98</v>
      </c>
      <c r="F5" s="11" t="s">
        <v>59</v>
      </c>
      <c r="G5" s="17" t="s">
        <v>115</v>
      </c>
    </row>
    <row r="6" ht="15.75" customHeight="1">
      <c r="A6" s="5">
        <v>5.0</v>
      </c>
      <c r="B6" s="23" t="s">
        <v>132</v>
      </c>
      <c r="C6" s="14"/>
      <c r="D6" s="14"/>
      <c r="E6" s="14"/>
      <c r="F6" s="14"/>
      <c r="G6" s="14"/>
      <c r="H6" s="14"/>
    </row>
    <row r="7" ht="15.75" customHeight="1">
      <c r="A7" s="5">
        <v>6.0</v>
      </c>
      <c r="B7" s="23" t="s">
        <v>170</v>
      </c>
      <c r="C7" s="14"/>
      <c r="D7" s="14"/>
      <c r="E7" s="14"/>
      <c r="F7" s="14"/>
      <c r="G7" s="14"/>
      <c r="H7" s="14"/>
    </row>
    <row r="8" ht="15.75" customHeight="1">
      <c r="A8" s="5">
        <v>7.0</v>
      </c>
      <c r="B8" s="23" t="s">
        <v>179</v>
      </c>
      <c r="C8" s="14"/>
      <c r="D8" s="14"/>
      <c r="E8" s="14"/>
      <c r="F8" s="14"/>
      <c r="G8" s="14"/>
      <c r="H8" s="14"/>
    </row>
    <row r="9" ht="15.75" customHeight="1">
      <c r="A9" s="5">
        <v>8.0</v>
      </c>
      <c r="B9" s="21" t="s">
        <v>183</v>
      </c>
      <c r="C9" s="14"/>
      <c r="D9" s="14"/>
      <c r="E9" s="14"/>
      <c r="F9" s="14"/>
      <c r="G9" s="14"/>
      <c r="H9" s="14"/>
    </row>
    <row r="10" ht="15.75" customHeight="1">
      <c r="A10" s="5">
        <v>9.0</v>
      </c>
      <c r="B10" s="8" t="s">
        <v>189</v>
      </c>
      <c r="C10" s="23" t="s">
        <v>191</v>
      </c>
      <c r="D10" s="9"/>
      <c r="E10" s="8" t="s">
        <v>109</v>
      </c>
      <c r="F10" s="8" t="s">
        <v>138</v>
      </c>
      <c r="G10" s="23" t="s">
        <v>192</v>
      </c>
      <c r="H10" s="8" t="s">
        <v>194</v>
      </c>
    </row>
    <row r="11" ht="15.75" customHeight="1">
      <c r="A11" s="5">
        <v>10.0</v>
      </c>
      <c r="B11" s="8" t="s">
        <v>195</v>
      </c>
      <c r="C11" s="23" t="s">
        <v>196</v>
      </c>
      <c r="D11" s="9"/>
      <c r="E11" s="8" t="s">
        <v>109</v>
      </c>
      <c r="F11" s="8" t="s">
        <v>197</v>
      </c>
      <c r="G11" s="23" t="s">
        <v>198</v>
      </c>
      <c r="H11" s="8" t="s">
        <v>194</v>
      </c>
    </row>
    <row r="12" ht="15.75" customHeight="1">
      <c r="A12" s="5">
        <v>11.0</v>
      </c>
      <c r="B12" s="8" t="s">
        <v>199</v>
      </c>
      <c r="C12" s="23" t="s">
        <v>200</v>
      </c>
      <c r="D12" s="9"/>
      <c r="E12" s="8" t="s">
        <v>109</v>
      </c>
      <c r="F12" s="8" t="s">
        <v>138</v>
      </c>
      <c r="G12" s="23" t="s">
        <v>201</v>
      </c>
      <c r="H12" s="8" t="s">
        <v>194</v>
      </c>
    </row>
    <row r="13" ht="15.75" customHeight="1">
      <c r="A13" s="5">
        <v>12.0</v>
      </c>
      <c r="B13" s="8" t="s">
        <v>202</v>
      </c>
      <c r="C13" s="23" t="s">
        <v>203</v>
      </c>
      <c r="D13" s="9"/>
      <c r="E13" s="8" t="s">
        <v>109</v>
      </c>
      <c r="F13" s="8" t="s">
        <v>138</v>
      </c>
      <c r="G13" s="23" t="s">
        <v>205</v>
      </c>
      <c r="H13" s="8" t="s">
        <v>194</v>
      </c>
    </row>
    <row r="14">
      <c r="A14" s="5">
        <v>13.0</v>
      </c>
      <c r="B14" s="8" t="s">
        <v>48</v>
      </c>
      <c r="D14" s="30" t="s">
        <v>50</v>
      </c>
      <c r="E14" s="8" t="s">
        <v>85</v>
      </c>
      <c r="F14" s="8" t="s">
        <v>52</v>
      </c>
      <c r="G14" s="8" t="s">
        <v>53</v>
      </c>
      <c r="H14" s="22" t="s">
        <v>206</v>
      </c>
    </row>
    <row r="15">
      <c r="A15" s="5">
        <v>14.0</v>
      </c>
      <c r="B15" s="8" t="s">
        <v>58</v>
      </c>
      <c r="C15" s="9"/>
      <c r="D15" s="30" t="s">
        <v>62</v>
      </c>
      <c r="E15" s="8" t="s">
        <v>85</v>
      </c>
      <c r="F15" s="8" t="s">
        <v>63</v>
      </c>
      <c r="G15" s="9"/>
      <c r="H15" s="22" t="s">
        <v>211</v>
      </c>
    </row>
    <row r="16">
      <c r="A16" s="5">
        <v>15.0</v>
      </c>
      <c r="B16" s="8" t="s">
        <v>66</v>
      </c>
      <c r="C16" s="9"/>
      <c r="D16" s="30" t="s">
        <v>67</v>
      </c>
      <c r="E16" s="8" t="s">
        <v>85</v>
      </c>
      <c r="F16" s="8" t="s">
        <v>68</v>
      </c>
      <c r="G16" s="9"/>
      <c r="H16" s="22" t="s">
        <v>213</v>
      </c>
    </row>
    <row r="17">
      <c r="A17" s="5">
        <v>16.0</v>
      </c>
      <c r="B17" s="8" t="s">
        <v>214</v>
      </c>
      <c r="D17" s="30" t="s">
        <v>50</v>
      </c>
      <c r="E17" s="8" t="s">
        <v>85</v>
      </c>
      <c r="F17" s="8" t="s">
        <v>53</v>
      </c>
      <c r="G17" s="9"/>
      <c r="H17" s="31">
        <v>46283.0</v>
      </c>
    </row>
    <row r="18">
      <c r="A18" s="5">
        <v>17.0</v>
      </c>
      <c r="B18" s="8" t="s">
        <v>58</v>
      </c>
      <c r="D18" s="30" t="s">
        <v>62</v>
      </c>
      <c r="E18" s="8" t="s">
        <v>85</v>
      </c>
      <c r="F18" s="8" t="s">
        <v>63</v>
      </c>
      <c r="H18" s="31">
        <v>46283.0</v>
      </c>
    </row>
    <row r="19" ht="15.75" customHeight="1">
      <c r="A19" s="5">
        <v>18.0</v>
      </c>
      <c r="B19" s="8" t="s">
        <v>216</v>
      </c>
      <c r="D19" s="30" t="s">
        <v>217</v>
      </c>
      <c r="E19" s="8" t="s">
        <v>85</v>
      </c>
      <c r="F19" s="8" t="s">
        <v>59</v>
      </c>
      <c r="H19" s="31">
        <v>46287.0</v>
      </c>
    </row>
    <row r="20" ht="15.75" customHeight="1">
      <c r="A20" s="5">
        <v>19.0</v>
      </c>
      <c r="B20" s="8" t="s">
        <v>223</v>
      </c>
      <c r="C20" s="9"/>
      <c r="D20" s="30" t="s">
        <v>224</v>
      </c>
      <c r="E20" s="8" t="s">
        <v>85</v>
      </c>
      <c r="F20" s="8" t="s">
        <v>53</v>
      </c>
      <c r="G20" s="8" t="s">
        <v>185</v>
      </c>
      <c r="H20" s="9"/>
    </row>
    <row r="21" ht="15.75" customHeight="1">
      <c r="A21" s="5">
        <v>20.0</v>
      </c>
      <c r="B21" s="8" t="s">
        <v>230</v>
      </c>
      <c r="D21" s="30" t="s">
        <v>232</v>
      </c>
      <c r="E21" s="8" t="s">
        <v>85</v>
      </c>
      <c r="F21" s="8" t="s">
        <v>53</v>
      </c>
      <c r="G21" s="8" t="s">
        <v>68</v>
      </c>
      <c r="H21" s="9"/>
    </row>
    <row r="22" ht="15.75" customHeight="1">
      <c r="A22" s="5">
        <v>21.0</v>
      </c>
      <c r="B22" s="8" t="s">
        <v>235</v>
      </c>
      <c r="D22" s="30" t="s">
        <v>236</v>
      </c>
      <c r="E22" s="8" t="s">
        <v>85</v>
      </c>
      <c r="F22" s="8" t="s">
        <v>68</v>
      </c>
      <c r="G22" s="8" t="s">
        <v>68</v>
      </c>
      <c r="H22" s="31">
        <v>46287.0</v>
      </c>
    </row>
    <row r="23" ht="15.75" customHeight="1">
      <c r="A23" s="5">
        <v>22.0</v>
      </c>
      <c r="B23" s="8" t="s">
        <v>238</v>
      </c>
      <c r="C23" s="9"/>
      <c r="D23" s="30" t="s">
        <v>62</v>
      </c>
      <c r="E23" s="9"/>
      <c r="F23" s="9"/>
      <c r="G23" s="9"/>
      <c r="H23" s="9"/>
    </row>
    <row r="24" ht="15.75" customHeight="1">
      <c r="A24" s="5">
        <v>23.0</v>
      </c>
      <c r="B24" s="8" t="s">
        <v>240</v>
      </c>
      <c r="C24" s="9"/>
      <c r="D24" s="30" t="s">
        <v>241</v>
      </c>
      <c r="E24" s="9"/>
      <c r="F24" s="9"/>
      <c r="G24" s="9"/>
      <c r="H24" s="9"/>
    </row>
    <row r="25" ht="15.75" customHeight="1">
      <c r="A25" s="9"/>
      <c r="B25" s="22" t="s">
        <v>244</v>
      </c>
      <c r="C25" s="22" t="s">
        <v>19</v>
      </c>
      <c r="D25" s="21" t="s">
        <v>246</v>
      </c>
      <c r="E25" s="23" t="s">
        <v>255</v>
      </c>
      <c r="F25" s="15" t="s">
        <v>260</v>
      </c>
      <c r="G25" s="22" t="s">
        <v>261</v>
      </c>
      <c r="H25" s="20">
        <v>46291.0</v>
      </c>
    </row>
    <row r="26" ht="15.75" customHeight="1">
      <c r="A26" s="9"/>
      <c r="B26" s="9"/>
      <c r="C26" s="8" t="s">
        <v>263</v>
      </c>
      <c r="D26" s="21" t="s">
        <v>264</v>
      </c>
      <c r="E26" s="23" t="s">
        <v>270</v>
      </c>
      <c r="F26" s="15" t="s">
        <v>260</v>
      </c>
      <c r="G26" s="22" t="s">
        <v>261</v>
      </c>
      <c r="H26" s="20">
        <v>46291.0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1:C21"/>
    <mergeCell ref="B22:C22"/>
    <mergeCell ref="G5:H5"/>
    <mergeCell ref="B14:C14"/>
    <mergeCell ref="B17:C17"/>
    <mergeCell ref="B18:C18"/>
    <mergeCell ref="F18:G18"/>
    <mergeCell ref="B19:C19"/>
    <mergeCell ref="F19:G19"/>
  </mergeCells>
  <hyperlinks>
    <hyperlink r:id="rId1" location="gid=107644410" ref="D5"/>
    <hyperlink r:id="rId2" ref="E5"/>
    <hyperlink r:id="rId3" ref="G5"/>
    <hyperlink r:id="rId4" location="gid=1165120713" ref="B6"/>
    <hyperlink r:id="rId5" location="gid=249300912" ref="B7"/>
    <hyperlink r:id="rId6" location="gid=742684702" ref="B8"/>
    <hyperlink r:id="rId7" location="gid=1642543170" ref="B9"/>
    <hyperlink r:id="rId8" ref="C10"/>
    <hyperlink r:id="rId9" ref="G10"/>
    <hyperlink r:id="rId10" ref="C11"/>
    <hyperlink r:id="rId11" ref="G11"/>
    <hyperlink r:id="rId12" ref="C12"/>
    <hyperlink r:id="rId13" ref="G12"/>
    <hyperlink r:id="rId14" ref="C13"/>
    <hyperlink r:id="rId15" ref="G13"/>
    <hyperlink r:id="rId16" ref="D14"/>
    <hyperlink r:id="rId17" ref="D15"/>
    <hyperlink r:id="rId18" ref="D16"/>
    <hyperlink r:id="rId19" ref="D17"/>
    <hyperlink r:id="rId20" ref="D18"/>
    <hyperlink r:id="rId21" ref="D19"/>
    <hyperlink r:id="rId22" location="gid=0" ref="D20"/>
    <hyperlink r:id="rId23" location="gid=0" ref="D21"/>
    <hyperlink r:id="rId24" location="gid=1952566712" ref="D22"/>
    <hyperlink r:id="rId25" ref="D23"/>
    <hyperlink r:id="rId26" location="gid=240502715" ref="D24"/>
    <hyperlink r:id="rId27" location="gid=582638336" ref="D25"/>
    <hyperlink r:id="rId28" ref="E25"/>
    <hyperlink r:id="rId29" location="gid=0" ref="D26"/>
    <hyperlink r:id="rId30" ref="E26"/>
  </hyperlinks>
  <printOptions/>
  <pageMargins bottom="0.75" footer="0.0" header="0.0" left="0.7" right="0.7" top="0.75"/>
  <pageSetup orientation="landscape"/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12.88"/>
    <col customWidth="1" min="3" max="3" width="22.0"/>
    <col customWidth="1" min="4" max="4" width="30.63"/>
    <col customWidth="1" min="5" max="5" width="10.25"/>
    <col customWidth="1" min="6" max="6" width="7.13"/>
    <col customWidth="1" min="7" max="7" width="11.63"/>
    <col customWidth="1" min="8" max="8" width="8.0"/>
    <col customWidth="1" min="9" max="9" width="14.38"/>
    <col customWidth="1" min="10" max="10" width="15.13"/>
  </cols>
  <sheetData>
    <row r="1" ht="15.75" customHeight="1">
      <c r="A1" s="2" t="s">
        <v>0</v>
      </c>
      <c r="B1" s="2" t="s">
        <v>296</v>
      </c>
      <c r="C1" s="2" t="s">
        <v>297</v>
      </c>
      <c r="D1" s="2" t="s">
        <v>298</v>
      </c>
      <c r="E1" s="2" t="s">
        <v>299</v>
      </c>
      <c r="F1" s="2" t="s">
        <v>300</v>
      </c>
      <c r="G1" s="2" t="s">
        <v>15</v>
      </c>
      <c r="H1" s="2" t="s">
        <v>16</v>
      </c>
      <c r="I1" s="2" t="s">
        <v>301</v>
      </c>
      <c r="J1" s="2" t="s">
        <v>302</v>
      </c>
    </row>
    <row r="2" ht="15.75" customHeight="1">
      <c r="A2" s="5">
        <v>1.0</v>
      </c>
      <c r="B2" s="5" t="s">
        <v>303</v>
      </c>
      <c r="C2" s="34" t="s">
        <v>304</v>
      </c>
      <c r="D2" s="5" t="s">
        <v>305</v>
      </c>
      <c r="F2" s="35">
        <v>15.0</v>
      </c>
      <c r="H2" s="7"/>
    </row>
    <row r="3" ht="15.75" customHeight="1">
      <c r="A3" s="5">
        <v>2.0</v>
      </c>
      <c r="B3" s="5" t="s">
        <v>303</v>
      </c>
      <c r="C3" s="34" t="s">
        <v>306</v>
      </c>
      <c r="D3" s="5" t="s">
        <v>305</v>
      </c>
      <c r="F3" s="35">
        <v>4.0</v>
      </c>
      <c r="H3" s="7"/>
    </row>
    <row r="4" ht="15.75" customHeight="1">
      <c r="A4" s="5">
        <v>3.0</v>
      </c>
      <c r="B4" s="5" t="s">
        <v>303</v>
      </c>
      <c r="C4" s="34" t="s">
        <v>307</v>
      </c>
      <c r="D4" s="5" t="s">
        <v>308</v>
      </c>
      <c r="F4" s="35">
        <v>4.0</v>
      </c>
      <c r="H4" s="7"/>
    </row>
    <row r="5" ht="15.75" customHeight="1">
      <c r="A5" s="5">
        <v>4.0</v>
      </c>
      <c r="B5" s="5" t="s">
        <v>303</v>
      </c>
      <c r="C5" s="34" t="s">
        <v>309</v>
      </c>
      <c r="D5" s="5" t="s">
        <v>308</v>
      </c>
      <c r="F5" s="35">
        <v>2.0</v>
      </c>
      <c r="H5" s="7"/>
    </row>
    <row r="6" ht="15.75" customHeight="1">
      <c r="A6" s="5">
        <v>5.0</v>
      </c>
      <c r="B6" s="5" t="s">
        <v>303</v>
      </c>
      <c r="C6" s="34" t="s">
        <v>86</v>
      </c>
      <c r="D6" s="5" t="s">
        <v>308</v>
      </c>
      <c r="F6" s="35">
        <v>8.0</v>
      </c>
      <c r="H6" s="7"/>
    </row>
    <row r="7" ht="15.75" customHeight="1">
      <c r="A7" s="5">
        <v>6.0</v>
      </c>
      <c r="B7" s="5" t="s">
        <v>303</v>
      </c>
      <c r="C7" s="34" t="s">
        <v>81</v>
      </c>
      <c r="D7" s="5" t="s">
        <v>308</v>
      </c>
      <c r="F7" s="35">
        <v>9.0</v>
      </c>
      <c r="H7" s="7"/>
    </row>
    <row r="8" ht="15.75" customHeight="1">
      <c r="A8" s="5">
        <v>7.0</v>
      </c>
      <c r="B8" s="5" t="s">
        <v>303</v>
      </c>
      <c r="C8" s="34" t="s">
        <v>310</v>
      </c>
      <c r="D8" s="5" t="s">
        <v>305</v>
      </c>
      <c r="F8" s="35">
        <v>2.0</v>
      </c>
      <c r="H8" s="7"/>
    </row>
    <row r="9" ht="15.75" customHeight="1">
      <c r="A9" s="5">
        <v>8.0</v>
      </c>
      <c r="B9" s="5" t="s">
        <v>303</v>
      </c>
      <c r="C9" s="34" t="s">
        <v>49</v>
      </c>
      <c r="D9" s="5" t="s">
        <v>308</v>
      </c>
      <c r="F9" s="35">
        <v>9.0</v>
      </c>
      <c r="H9" s="7"/>
    </row>
    <row r="10" ht="15.75" customHeight="1">
      <c r="A10" s="5">
        <v>9.0</v>
      </c>
      <c r="B10" s="5" t="s">
        <v>303</v>
      </c>
      <c r="C10" s="34" t="s">
        <v>311</v>
      </c>
      <c r="D10" s="5" t="s">
        <v>308</v>
      </c>
      <c r="F10" s="35">
        <v>1.0</v>
      </c>
      <c r="H10" s="7"/>
    </row>
    <row r="11" ht="15.75" customHeight="1">
      <c r="A11" s="5">
        <v>10.0</v>
      </c>
      <c r="B11" s="5" t="s">
        <v>303</v>
      </c>
      <c r="C11" s="34" t="s">
        <v>312</v>
      </c>
      <c r="D11" s="5" t="s">
        <v>308</v>
      </c>
      <c r="F11" s="35">
        <v>2.0</v>
      </c>
      <c r="H11" s="7"/>
    </row>
    <row r="12" ht="15.75" customHeight="1">
      <c r="A12" s="5">
        <v>11.0</v>
      </c>
      <c r="B12" s="5" t="s">
        <v>303</v>
      </c>
      <c r="C12" s="34" t="s">
        <v>313</v>
      </c>
      <c r="D12" s="5" t="s">
        <v>305</v>
      </c>
      <c r="F12" s="35">
        <v>1.0</v>
      </c>
      <c r="H12" s="7"/>
    </row>
    <row r="13" ht="15.75" customHeight="1">
      <c r="A13" s="5">
        <v>12.0</v>
      </c>
      <c r="B13" s="5" t="s">
        <v>303</v>
      </c>
      <c r="C13" s="34" t="s">
        <v>314</v>
      </c>
      <c r="D13" s="5" t="s">
        <v>305</v>
      </c>
      <c r="F13" s="35">
        <v>2.0</v>
      </c>
      <c r="H13" s="7"/>
    </row>
    <row r="14" ht="15.75" customHeight="1">
      <c r="A14" s="5">
        <v>13.0</v>
      </c>
      <c r="B14" s="5" t="s">
        <v>303</v>
      </c>
      <c r="C14" s="34" t="s">
        <v>315</v>
      </c>
      <c r="D14" s="5" t="s">
        <v>308</v>
      </c>
      <c r="F14" s="35">
        <v>1.0</v>
      </c>
      <c r="H14" s="7"/>
    </row>
    <row r="15" ht="15.75" customHeight="1">
      <c r="A15" s="5">
        <v>14.0</v>
      </c>
      <c r="B15" s="5" t="s">
        <v>303</v>
      </c>
      <c r="C15" s="34" t="s">
        <v>316</v>
      </c>
      <c r="D15" s="5" t="s">
        <v>308</v>
      </c>
      <c r="F15" s="35">
        <v>1.0</v>
      </c>
      <c r="H15" s="7"/>
    </row>
    <row r="16" ht="15.75" customHeight="1">
      <c r="A16" s="5">
        <v>15.0</v>
      </c>
      <c r="B16" s="5" t="s">
        <v>303</v>
      </c>
      <c r="C16" s="34" t="s">
        <v>317</v>
      </c>
      <c r="D16" s="5" t="s">
        <v>305</v>
      </c>
      <c r="F16" s="35">
        <v>4.0</v>
      </c>
      <c r="H16" s="7"/>
    </row>
    <row r="17" ht="15.75" customHeight="1">
      <c r="A17" s="5">
        <v>16.0</v>
      </c>
      <c r="B17" s="5" t="s">
        <v>303</v>
      </c>
      <c r="C17" s="34" t="s">
        <v>318</v>
      </c>
      <c r="D17" s="5" t="s">
        <v>305</v>
      </c>
      <c r="F17" s="35">
        <v>12.0</v>
      </c>
      <c r="H17" s="7"/>
    </row>
    <row r="18" ht="15.75" customHeight="1">
      <c r="A18" s="5">
        <v>17.0</v>
      </c>
      <c r="B18" s="5" t="s">
        <v>303</v>
      </c>
      <c r="C18" s="34" t="s">
        <v>319</v>
      </c>
      <c r="D18" s="5" t="s">
        <v>305</v>
      </c>
      <c r="F18" s="35">
        <v>4.0</v>
      </c>
      <c r="H18" s="7"/>
    </row>
    <row r="19" ht="15.75" customHeight="1">
      <c r="A19" s="5">
        <v>18.0</v>
      </c>
      <c r="B19" s="5" t="s">
        <v>303</v>
      </c>
      <c r="C19" s="34" t="s">
        <v>320</v>
      </c>
      <c r="D19" s="5" t="s">
        <v>308</v>
      </c>
      <c r="F19" s="35">
        <v>1.0</v>
      </c>
      <c r="H19" s="7"/>
    </row>
    <row r="20" ht="15.75" customHeight="1">
      <c r="A20" s="5">
        <v>19.0</v>
      </c>
      <c r="B20" s="5" t="s">
        <v>303</v>
      </c>
      <c r="C20" s="34" t="s">
        <v>321</v>
      </c>
      <c r="D20" s="5" t="s">
        <v>305</v>
      </c>
      <c r="F20" s="35">
        <v>10.0</v>
      </c>
      <c r="H20" s="7"/>
    </row>
    <row r="21" ht="15.75" customHeight="1">
      <c r="A21" s="5">
        <v>20.0</v>
      </c>
      <c r="B21" s="5" t="s">
        <v>303</v>
      </c>
      <c r="C21" s="34" t="s">
        <v>322</v>
      </c>
      <c r="D21" s="5" t="s">
        <v>308</v>
      </c>
      <c r="F21" s="35">
        <v>1.0</v>
      </c>
      <c r="H21" s="7"/>
    </row>
    <row r="22" ht="15.75" customHeight="1">
      <c r="A22" s="5">
        <v>21.0</v>
      </c>
      <c r="B22" s="5" t="s">
        <v>303</v>
      </c>
      <c r="C22" s="34" t="s">
        <v>323</v>
      </c>
      <c r="D22" s="5" t="s">
        <v>308</v>
      </c>
      <c r="F22" s="35">
        <v>1.0</v>
      </c>
      <c r="H22" s="7"/>
    </row>
    <row r="23" ht="15.75" customHeight="1">
      <c r="A23" s="5">
        <v>22.0</v>
      </c>
      <c r="B23" s="5" t="s">
        <v>303</v>
      </c>
      <c r="C23" s="34" t="s">
        <v>324</v>
      </c>
      <c r="D23" s="5" t="s">
        <v>305</v>
      </c>
      <c r="F23" s="35">
        <v>1.0</v>
      </c>
      <c r="H23" s="7"/>
    </row>
    <row r="24" ht="15.75" customHeight="1">
      <c r="A24" s="5">
        <v>23.0</v>
      </c>
      <c r="B24" s="5" t="s">
        <v>303</v>
      </c>
      <c r="C24" s="34" t="s">
        <v>325</v>
      </c>
      <c r="D24" s="5" t="s">
        <v>308</v>
      </c>
      <c r="F24" s="35">
        <v>1.0</v>
      </c>
      <c r="H24" s="7"/>
    </row>
    <row r="25" ht="15.75" customHeight="1">
      <c r="A25" s="5">
        <v>24.0</v>
      </c>
      <c r="B25" s="5" t="s">
        <v>303</v>
      </c>
      <c r="C25" s="34" t="s">
        <v>326</v>
      </c>
      <c r="D25" s="5" t="s">
        <v>308</v>
      </c>
      <c r="F25" s="35">
        <v>1.0</v>
      </c>
      <c r="H25" s="7"/>
    </row>
    <row r="26" ht="15.75" customHeight="1">
      <c r="A26" s="5">
        <v>25.0</v>
      </c>
      <c r="B26" s="8" t="s">
        <v>303</v>
      </c>
      <c r="C26" s="8" t="s">
        <v>327</v>
      </c>
      <c r="D26" s="5" t="s">
        <v>308</v>
      </c>
      <c r="E26" s="9"/>
      <c r="F26" s="6">
        <v>1.0</v>
      </c>
      <c r="G26" s="9"/>
      <c r="H26" s="18"/>
      <c r="I26" s="9"/>
      <c r="J26" s="9"/>
    </row>
    <row r="27" ht="15.75" customHeight="1">
      <c r="A27" s="5">
        <v>26.0</v>
      </c>
      <c r="B27" s="8" t="s">
        <v>303</v>
      </c>
      <c r="C27" s="8" t="s">
        <v>328</v>
      </c>
      <c r="D27" s="5" t="s">
        <v>308</v>
      </c>
      <c r="E27" s="9"/>
      <c r="F27" s="6">
        <v>5.0</v>
      </c>
      <c r="G27" s="9"/>
      <c r="H27" s="18"/>
      <c r="I27" s="9"/>
      <c r="J27" s="9"/>
    </row>
    <row r="28" ht="15.75" customHeight="1">
      <c r="A28" s="5">
        <v>27.0</v>
      </c>
      <c r="B28" s="8" t="s">
        <v>303</v>
      </c>
      <c r="C28" s="8" t="s">
        <v>329</v>
      </c>
      <c r="D28" s="5" t="s">
        <v>308</v>
      </c>
      <c r="E28" s="9"/>
      <c r="F28" s="6">
        <v>1.0</v>
      </c>
      <c r="G28" s="9"/>
      <c r="H28" s="18"/>
      <c r="I28" s="9"/>
      <c r="J28" s="9"/>
    </row>
    <row r="29" ht="15.75" customHeight="1">
      <c r="A29" s="5">
        <v>28.0</v>
      </c>
      <c r="B29" s="8" t="s">
        <v>330</v>
      </c>
      <c r="C29" s="8" t="s">
        <v>331</v>
      </c>
      <c r="D29" s="5" t="s">
        <v>308</v>
      </c>
      <c r="E29" s="9"/>
      <c r="F29" s="6">
        <v>1.0</v>
      </c>
      <c r="G29" s="9"/>
      <c r="H29" s="18"/>
      <c r="I29" s="9"/>
      <c r="J29" s="9"/>
    </row>
    <row r="30" ht="15.75" customHeight="1">
      <c r="A30" s="5">
        <v>29.0</v>
      </c>
      <c r="B30" s="8" t="s">
        <v>330</v>
      </c>
      <c r="C30" s="8" t="s">
        <v>332</v>
      </c>
      <c r="D30" s="5" t="s">
        <v>308</v>
      </c>
      <c r="E30" s="9"/>
      <c r="F30" s="6">
        <v>1.0</v>
      </c>
      <c r="G30" s="9"/>
      <c r="H30" s="18"/>
      <c r="I30" s="9"/>
      <c r="J30" s="9"/>
    </row>
    <row r="31" ht="15.75" customHeight="1">
      <c r="A31" s="5">
        <v>30.0</v>
      </c>
      <c r="B31" s="8" t="s">
        <v>330</v>
      </c>
      <c r="C31" s="8" t="s">
        <v>333</v>
      </c>
      <c r="D31" s="5" t="s">
        <v>305</v>
      </c>
      <c r="E31" s="9"/>
      <c r="F31" s="6">
        <v>3.0</v>
      </c>
      <c r="G31" s="9"/>
      <c r="H31" s="18"/>
      <c r="I31" s="9"/>
      <c r="J31" s="9"/>
    </row>
    <row r="32" ht="15.75" customHeight="1">
      <c r="A32" s="5">
        <v>31.0</v>
      </c>
      <c r="B32" s="8" t="s">
        <v>330</v>
      </c>
      <c r="C32" s="8" t="s">
        <v>334</v>
      </c>
      <c r="D32" s="5" t="s">
        <v>305</v>
      </c>
      <c r="E32" s="9"/>
      <c r="F32" s="6">
        <v>3.0</v>
      </c>
      <c r="G32" s="9"/>
      <c r="H32" s="8"/>
      <c r="I32" s="9"/>
      <c r="J32" s="9"/>
    </row>
    <row r="33" ht="15.75" customHeight="1">
      <c r="A33" s="5">
        <v>32.0</v>
      </c>
      <c r="B33" s="8" t="s">
        <v>330</v>
      </c>
      <c r="C33" s="8" t="s">
        <v>335</v>
      </c>
      <c r="D33" s="5" t="s">
        <v>305</v>
      </c>
      <c r="E33" s="9"/>
      <c r="F33" s="6">
        <v>1.0</v>
      </c>
      <c r="G33" s="9"/>
      <c r="H33" s="8"/>
      <c r="I33" s="9"/>
      <c r="J33" s="9"/>
    </row>
    <row r="34" ht="15.75" customHeight="1">
      <c r="A34" s="5">
        <v>33.0</v>
      </c>
      <c r="B34" s="5" t="s">
        <v>330</v>
      </c>
      <c r="C34" s="5" t="s">
        <v>336</v>
      </c>
      <c r="D34" s="5" t="s">
        <v>305</v>
      </c>
      <c r="F34" s="5">
        <v>1.0</v>
      </c>
      <c r="H34" s="7"/>
    </row>
    <row r="35" ht="15.75" customHeight="1">
      <c r="A35" s="5">
        <v>34.0</v>
      </c>
      <c r="B35" s="5" t="s">
        <v>330</v>
      </c>
      <c r="C35" s="5" t="s">
        <v>337</v>
      </c>
      <c r="D35" s="5" t="s">
        <v>308</v>
      </c>
      <c r="F35" s="5">
        <v>1.0</v>
      </c>
      <c r="H35" s="36" t="s">
        <v>338</v>
      </c>
    </row>
    <row r="36" ht="15.75" customHeight="1">
      <c r="A36" s="5">
        <v>35.0</v>
      </c>
      <c r="B36" s="5" t="s">
        <v>330</v>
      </c>
      <c r="C36" s="5" t="s">
        <v>339</v>
      </c>
      <c r="D36" s="5" t="s">
        <v>308</v>
      </c>
      <c r="F36" s="5">
        <v>1.0</v>
      </c>
      <c r="H36" s="36" t="s">
        <v>338</v>
      </c>
    </row>
    <row r="37" ht="15.75" customHeight="1">
      <c r="H37" s="7"/>
    </row>
    <row r="38" ht="15.75" customHeight="1">
      <c r="H38" s="7"/>
    </row>
    <row r="39" ht="15.75" customHeight="1">
      <c r="H39" s="7"/>
    </row>
    <row r="40" ht="15.75" customHeight="1">
      <c r="H40" s="7"/>
    </row>
    <row r="41" ht="15.75" customHeight="1">
      <c r="H41" s="7"/>
    </row>
    <row r="42" ht="15.75" customHeight="1">
      <c r="H42" s="7"/>
    </row>
    <row r="43" ht="15.75" customHeight="1">
      <c r="H43" s="7"/>
    </row>
    <row r="44" ht="15.75" customHeight="1">
      <c r="H44" s="7"/>
    </row>
    <row r="45" ht="15.75" customHeight="1">
      <c r="H45" s="7"/>
    </row>
    <row r="46" ht="15.75" customHeight="1">
      <c r="H46" s="7"/>
    </row>
    <row r="47" ht="15.75" customHeight="1">
      <c r="H47" s="7"/>
    </row>
    <row r="48" ht="15.75" customHeight="1">
      <c r="H48" s="7"/>
    </row>
    <row r="49" ht="15.75" customHeight="1">
      <c r="H49" s="7"/>
    </row>
    <row r="50" ht="15.75" customHeight="1">
      <c r="H50" s="7"/>
    </row>
    <row r="51" ht="15.75" customHeight="1">
      <c r="H51" s="7"/>
    </row>
    <row r="52" ht="15.75" customHeight="1">
      <c r="H52" s="7"/>
    </row>
    <row r="53" ht="15.75" customHeight="1">
      <c r="H53" s="7"/>
    </row>
    <row r="54" ht="15.75" customHeight="1">
      <c r="H54" s="7"/>
    </row>
    <row r="55" ht="15.75" customHeight="1">
      <c r="H55" s="7"/>
    </row>
    <row r="56" ht="15.75" customHeight="1">
      <c r="H56" s="7"/>
    </row>
    <row r="57" ht="15.75" customHeight="1">
      <c r="H57" s="7"/>
    </row>
    <row r="58" ht="15.75" customHeight="1">
      <c r="H58" s="7"/>
    </row>
    <row r="59" ht="15.75" customHeight="1">
      <c r="H59" s="7"/>
    </row>
    <row r="60" ht="15.75" customHeight="1">
      <c r="H60" s="7"/>
    </row>
    <row r="61" ht="15.75" customHeight="1">
      <c r="H61" s="7"/>
    </row>
    <row r="62" ht="15.75" customHeight="1">
      <c r="H62" s="7"/>
    </row>
    <row r="63" ht="15.75" customHeight="1">
      <c r="H63" s="7"/>
    </row>
    <row r="64" ht="15.75" customHeight="1">
      <c r="H64" s="7"/>
    </row>
    <row r="65" ht="15.75" customHeight="1">
      <c r="H65" s="7"/>
    </row>
    <row r="66" ht="15.75" customHeight="1">
      <c r="H66" s="7"/>
    </row>
    <row r="67" ht="15.75" customHeight="1">
      <c r="H67" s="7"/>
    </row>
    <row r="68" ht="15.75" customHeight="1">
      <c r="H68" s="7"/>
    </row>
    <row r="69" ht="15.75" customHeight="1">
      <c r="H69" s="7"/>
    </row>
    <row r="70" ht="15.75" customHeight="1">
      <c r="H70" s="7"/>
    </row>
    <row r="71" ht="15.75" customHeight="1">
      <c r="H71" s="7"/>
    </row>
    <row r="72" ht="15.75" customHeight="1">
      <c r="H72" s="7"/>
    </row>
    <row r="73" ht="15.75" customHeight="1">
      <c r="H73" s="7"/>
    </row>
    <row r="74" ht="15.75" customHeight="1">
      <c r="H74" s="7"/>
    </row>
    <row r="75" ht="15.75" customHeight="1">
      <c r="H75" s="7"/>
    </row>
    <row r="76" ht="15.75" customHeight="1">
      <c r="H76" s="7"/>
    </row>
    <row r="77" ht="15.75" customHeight="1">
      <c r="H77" s="7"/>
    </row>
    <row r="78" ht="15.75" customHeight="1">
      <c r="H78" s="7"/>
    </row>
    <row r="79" ht="15.75" customHeight="1">
      <c r="H79" s="7"/>
    </row>
    <row r="80" ht="15.75" customHeight="1">
      <c r="H80" s="7"/>
    </row>
    <row r="81" ht="15.75" customHeight="1">
      <c r="H81" s="7"/>
    </row>
    <row r="82" ht="15.75" customHeight="1">
      <c r="H82" s="7"/>
    </row>
    <row r="83" ht="15.75" customHeight="1">
      <c r="H83" s="7"/>
    </row>
    <row r="84" ht="15.75" customHeight="1">
      <c r="H84" s="7"/>
    </row>
    <row r="85" ht="15.75" customHeight="1">
      <c r="H85" s="7"/>
    </row>
    <row r="86" ht="15.75" customHeight="1">
      <c r="H86" s="7"/>
    </row>
    <row r="87" ht="15.75" customHeight="1">
      <c r="H87" s="7"/>
    </row>
    <row r="88" ht="15.75" customHeight="1">
      <c r="H88" s="7"/>
    </row>
    <row r="89" ht="15.75" customHeight="1">
      <c r="H89" s="7"/>
    </row>
    <row r="90" ht="15.75" customHeight="1">
      <c r="H90" s="7"/>
    </row>
    <row r="91" ht="15.75" customHeight="1">
      <c r="H91" s="7"/>
    </row>
    <row r="92" ht="15.75" customHeight="1">
      <c r="H92" s="7"/>
    </row>
    <row r="93" ht="15.75" customHeight="1">
      <c r="H93" s="7"/>
    </row>
    <row r="94" ht="15.75" customHeight="1">
      <c r="H94" s="7"/>
    </row>
    <row r="95" ht="15.75" customHeight="1">
      <c r="H95" s="7"/>
    </row>
    <row r="96" ht="15.75" customHeight="1">
      <c r="H96" s="7"/>
    </row>
    <row r="97" ht="15.75" customHeight="1">
      <c r="H97" s="7"/>
    </row>
    <row r="98" ht="15.75" customHeight="1">
      <c r="H98" s="7"/>
    </row>
    <row r="99" ht="15.75" customHeight="1">
      <c r="H99" s="7"/>
    </row>
    <row r="100" ht="15.75" customHeight="1">
      <c r="H100" s="7"/>
    </row>
    <row r="101" ht="15.75" customHeight="1">
      <c r="H101" s="7"/>
    </row>
    <row r="102" ht="15.75" customHeight="1">
      <c r="H102" s="7"/>
    </row>
    <row r="103" ht="15.75" customHeight="1">
      <c r="H103" s="7"/>
    </row>
    <row r="104" ht="15.75" customHeight="1">
      <c r="H104" s="7"/>
    </row>
    <row r="105" ht="15.75" customHeight="1">
      <c r="H105" s="7"/>
    </row>
    <row r="106" ht="15.75" customHeight="1">
      <c r="H106" s="7"/>
    </row>
    <row r="107" ht="15.75" customHeight="1">
      <c r="H107" s="7"/>
    </row>
    <row r="108" ht="15.75" customHeight="1">
      <c r="H108" s="7"/>
    </row>
    <row r="109" ht="15.75" customHeight="1">
      <c r="H109" s="7"/>
    </row>
    <row r="110" ht="15.75" customHeight="1">
      <c r="H110" s="7"/>
    </row>
    <row r="111" ht="15.75" customHeight="1">
      <c r="H111" s="7"/>
    </row>
    <row r="112" ht="15.75" customHeight="1">
      <c r="H112" s="7"/>
    </row>
    <row r="113" ht="15.75" customHeight="1">
      <c r="H113" s="7"/>
    </row>
    <row r="114" ht="15.75" customHeight="1">
      <c r="H114" s="7"/>
    </row>
    <row r="115" ht="15.75" customHeight="1">
      <c r="H115" s="7"/>
    </row>
    <row r="116" ht="15.75" customHeight="1">
      <c r="H116" s="7"/>
    </row>
    <row r="117" ht="15.75" customHeight="1">
      <c r="H117" s="7"/>
    </row>
    <row r="118" ht="15.75" customHeight="1">
      <c r="H118" s="7"/>
    </row>
    <row r="119" ht="15.75" customHeight="1">
      <c r="H119" s="7"/>
    </row>
    <row r="120" ht="15.75" customHeight="1">
      <c r="H120" s="7"/>
    </row>
    <row r="121" ht="15.75" customHeight="1">
      <c r="H121" s="7"/>
    </row>
    <row r="122" ht="15.75" customHeight="1">
      <c r="H122" s="7"/>
    </row>
    <row r="123" ht="15.75" customHeight="1">
      <c r="H123" s="7"/>
    </row>
    <row r="124" ht="15.75" customHeight="1">
      <c r="H124" s="7"/>
    </row>
    <row r="125" ht="15.75" customHeight="1">
      <c r="H125" s="7"/>
    </row>
    <row r="126" ht="15.75" customHeight="1">
      <c r="H126" s="7"/>
    </row>
    <row r="127" ht="15.75" customHeight="1">
      <c r="H127" s="7"/>
    </row>
    <row r="128" ht="15.75" customHeight="1">
      <c r="H128" s="7"/>
    </row>
    <row r="129" ht="15.75" customHeight="1">
      <c r="H129" s="7"/>
    </row>
    <row r="130" ht="15.75" customHeight="1">
      <c r="H130" s="7"/>
    </row>
    <row r="131" ht="15.75" customHeight="1">
      <c r="H131" s="7"/>
    </row>
    <row r="132" ht="15.75" customHeight="1">
      <c r="H132" s="7"/>
    </row>
    <row r="133" ht="15.75" customHeight="1">
      <c r="H133" s="7"/>
    </row>
    <row r="134" ht="15.75" customHeight="1">
      <c r="H134" s="7"/>
    </row>
    <row r="135" ht="15.75" customHeight="1">
      <c r="H135" s="7"/>
    </row>
    <row r="136" ht="15.75" customHeight="1">
      <c r="H136" s="7"/>
    </row>
    <row r="137" ht="15.75" customHeight="1">
      <c r="H137" s="7"/>
    </row>
    <row r="138" ht="15.75" customHeight="1">
      <c r="H138" s="7"/>
    </row>
    <row r="139" ht="15.75" customHeight="1">
      <c r="H139" s="7"/>
    </row>
    <row r="140" ht="15.75" customHeight="1">
      <c r="H140" s="7"/>
    </row>
    <row r="141" ht="15.75" customHeight="1">
      <c r="H141" s="7"/>
    </row>
    <row r="142" ht="15.75" customHeight="1">
      <c r="H142" s="7"/>
    </row>
    <row r="143" ht="15.75" customHeight="1">
      <c r="H143" s="7"/>
    </row>
    <row r="144" ht="15.75" customHeight="1">
      <c r="H144" s="7"/>
    </row>
    <row r="145" ht="15.75" customHeight="1">
      <c r="H145" s="7"/>
    </row>
    <row r="146" ht="15.75" customHeight="1">
      <c r="H146" s="7"/>
    </row>
    <row r="147" ht="15.75" customHeight="1">
      <c r="H147" s="7"/>
    </row>
    <row r="148" ht="15.75" customHeight="1">
      <c r="H148" s="7"/>
    </row>
    <row r="149" ht="15.75" customHeight="1">
      <c r="H149" s="7"/>
    </row>
    <row r="150" ht="15.75" customHeight="1">
      <c r="H150" s="7"/>
    </row>
    <row r="151" ht="15.75" customHeight="1">
      <c r="H151" s="7"/>
    </row>
    <row r="152" ht="15.75" customHeight="1">
      <c r="H152" s="7"/>
    </row>
    <row r="153" ht="15.75" customHeight="1">
      <c r="H153" s="7"/>
    </row>
    <row r="154" ht="15.75" customHeight="1">
      <c r="H154" s="7"/>
    </row>
    <row r="155" ht="15.75" customHeight="1">
      <c r="H155" s="7"/>
    </row>
    <row r="156" ht="15.75" customHeight="1">
      <c r="H156" s="7"/>
    </row>
    <row r="157" ht="15.75" customHeight="1">
      <c r="H157" s="7"/>
    </row>
    <row r="158" ht="15.75" customHeight="1">
      <c r="H158" s="7"/>
    </row>
    <row r="159" ht="15.75" customHeight="1">
      <c r="H159" s="7"/>
    </row>
    <row r="160" ht="15.75" customHeight="1">
      <c r="H160" s="7"/>
    </row>
    <row r="161" ht="15.75" customHeight="1">
      <c r="H161" s="7"/>
    </row>
    <row r="162" ht="15.75" customHeight="1">
      <c r="H162" s="7"/>
    </row>
    <row r="163" ht="15.75" customHeight="1">
      <c r="H163" s="7"/>
    </row>
    <row r="164" ht="15.75" customHeight="1">
      <c r="H164" s="7"/>
    </row>
    <row r="165" ht="15.75" customHeight="1">
      <c r="H165" s="7"/>
    </row>
    <row r="166" ht="15.75" customHeight="1">
      <c r="H166" s="7"/>
    </row>
    <row r="167" ht="15.75" customHeight="1">
      <c r="H167" s="7"/>
    </row>
    <row r="168" ht="15.75" customHeight="1">
      <c r="H168" s="7"/>
    </row>
    <row r="169" ht="15.75" customHeight="1">
      <c r="H169" s="7"/>
    </row>
    <row r="170" ht="15.75" customHeight="1">
      <c r="H170" s="7"/>
    </row>
    <row r="171" ht="15.75" customHeight="1">
      <c r="H171" s="7"/>
    </row>
    <row r="172" ht="15.75" customHeight="1">
      <c r="H172" s="7"/>
    </row>
    <row r="173" ht="15.75" customHeight="1">
      <c r="H173" s="7"/>
    </row>
    <row r="174" ht="15.75" customHeight="1">
      <c r="H174" s="7"/>
    </row>
    <row r="175" ht="15.75" customHeight="1">
      <c r="H175" s="7"/>
    </row>
    <row r="176" ht="15.75" customHeight="1">
      <c r="H176" s="7"/>
    </row>
    <row r="177" ht="15.75" customHeight="1">
      <c r="H177" s="7"/>
    </row>
    <row r="178" ht="15.75" customHeight="1">
      <c r="H178" s="7"/>
    </row>
    <row r="179" ht="15.75" customHeight="1">
      <c r="H179" s="7"/>
    </row>
    <row r="180" ht="15.75" customHeight="1">
      <c r="H180" s="7"/>
    </row>
    <row r="181" ht="15.75" customHeight="1">
      <c r="H181" s="7"/>
    </row>
    <row r="182" ht="15.75" customHeight="1">
      <c r="H182" s="7"/>
    </row>
    <row r="183" ht="15.75" customHeight="1">
      <c r="H183" s="7"/>
    </row>
    <row r="184" ht="15.75" customHeight="1">
      <c r="H184" s="7"/>
    </row>
    <row r="185" ht="15.75" customHeight="1">
      <c r="H185" s="7"/>
    </row>
    <row r="186" ht="15.75" customHeight="1">
      <c r="H186" s="7"/>
    </row>
    <row r="187" ht="15.75" customHeight="1">
      <c r="H187" s="7"/>
    </row>
    <row r="188" ht="15.75" customHeight="1">
      <c r="H188" s="7"/>
    </row>
    <row r="189" ht="15.75" customHeight="1">
      <c r="H189" s="7"/>
    </row>
    <row r="190" ht="15.75" customHeight="1">
      <c r="H190" s="7"/>
    </row>
    <row r="191" ht="15.75" customHeight="1">
      <c r="H191" s="7"/>
    </row>
    <row r="192" ht="15.75" customHeight="1">
      <c r="H192" s="7"/>
    </row>
    <row r="193" ht="15.75" customHeight="1">
      <c r="H193" s="7"/>
    </row>
    <row r="194" ht="15.75" customHeight="1">
      <c r="H194" s="7"/>
    </row>
    <row r="195" ht="15.75" customHeight="1">
      <c r="H195" s="7"/>
    </row>
    <row r="196" ht="15.75" customHeight="1">
      <c r="H196" s="7"/>
    </row>
    <row r="197" ht="15.75" customHeight="1">
      <c r="H197" s="7"/>
    </row>
    <row r="198" ht="15.75" customHeight="1">
      <c r="H198" s="7"/>
    </row>
    <row r="199" ht="15.75" customHeight="1">
      <c r="H199" s="7"/>
    </row>
    <row r="200" ht="15.75" customHeight="1">
      <c r="H200" s="7"/>
    </row>
    <row r="201" ht="15.75" customHeight="1">
      <c r="H201" s="7"/>
    </row>
    <row r="202" ht="15.75" customHeight="1">
      <c r="H202" s="7"/>
    </row>
    <row r="203" ht="15.75" customHeight="1">
      <c r="H203" s="7"/>
    </row>
    <row r="204" ht="15.75" customHeight="1">
      <c r="H204" s="7"/>
    </row>
    <row r="205" ht="15.75" customHeight="1">
      <c r="H205" s="7"/>
    </row>
    <row r="206" ht="15.75" customHeight="1">
      <c r="H206" s="7"/>
    </row>
    <row r="207" ht="15.75" customHeight="1">
      <c r="H207" s="7"/>
    </row>
    <row r="208" ht="15.75" customHeight="1">
      <c r="H208" s="7"/>
    </row>
    <row r="209" ht="15.75" customHeight="1">
      <c r="H209" s="7"/>
    </row>
    <row r="210" ht="15.75" customHeight="1">
      <c r="H210" s="7"/>
    </row>
    <row r="211" ht="15.75" customHeight="1">
      <c r="H211" s="7"/>
    </row>
    <row r="212" ht="15.75" customHeight="1">
      <c r="H212" s="7"/>
    </row>
    <row r="213" ht="15.75" customHeight="1">
      <c r="H213" s="7"/>
    </row>
    <row r="214" ht="15.75" customHeight="1">
      <c r="H214" s="7"/>
    </row>
    <row r="215" ht="15.75" customHeight="1">
      <c r="H215" s="4"/>
    </row>
    <row r="216" ht="15.75" customHeight="1">
      <c r="H216" s="4"/>
    </row>
    <row r="217" ht="15.75" customHeight="1">
      <c r="H217" s="4"/>
    </row>
    <row r="218" ht="15.75" customHeight="1">
      <c r="H218" s="4"/>
    </row>
    <row r="219" ht="15.75" customHeight="1">
      <c r="H219" s="4"/>
    </row>
    <row r="220" ht="15.75" customHeight="1">
      <c r="H220" s="4"/>
    </row>
    <row r="221" ht="15.75" customHeight="1">
      <c r="H221" s="4"/>
    </row>
    <row r="222" ht="15.75" customHeight="1">
      <c r="H222" s="4"/>
    </row>
    <row r="223" ht="15.75" customHeight="1">
      <c r="H223" s="4"/>
    </row>
    <row r="224" ht="15.75" customHeight="1">
      <c r="H224" s="4"/>
    </row>
    <row r="225" ht="15.75" customHeight="1">
      <c r="H225" s="4"/>
    </row>
    <row r="226" ht="15.75" customHeight="1">
      <c r="H226" s="4"/>
    </row>
    <row r="227" ht="15.75" customHeight="1">
      <c r="H227" s="4"/>
    </row>
    <row r="228" ht="15.75" customHeight="1">
      <c r="H228" s="4"/>
    </row>
    <row r="229" ht="15.75" customHeight="1">
      <c r="H229" s="4"/>
    </row>
    <row r="230" ht="15.75" customHeight="1">
      <c r="H230" s="4"/>
    </row>
    <row r="231" ht="15.75" customHeight="1">
      <c r="H231" s="4"/>
    </row>
    <row r="232" ht="15.75" customHeight="1">
      <c r="H232" s="4"/>
    </row>
    <row r="233" ht="15.75" customHeight="1">
      <c r="H233" s="4"/>
    </row>
    <row r="234" ht="15.75" customHeight="1">
      <c r="H234" s="4"/>
    </row>
    <row r="235" ht="15.75" customHeight="1">
      <c r="H235" s="4"/>
    </row>
    <row r="236" ht="15.75" customHeight="1">
      <c r="H236" s="4"/>
    </row>
    <row r="237" ht="15.75" customHeight="1">
      <c r="H237" s="4"/>
    </row>
    <row r="238" ht="15.75" customHeight="1">
      <c r="H238" s="4"/>
    </row>
    <row r="239" ht="15.75" customHeight="1">
      <c r="H239" s="4"/>
    </row>
    <row r="240" ht="15.75" customHeight="1">
      <c r="H240" s="4"/>
    </row>
    <row r="241" ht="15.75" customHeight="1">
      <c r="H241" s="4"/>
    </row>
    <row r="242" ht="15.75" customHeight="1">
      <c r="H242" s="4"/>
    </row>
    <row r="243" ht="15.75" customHeight="1">
      <c r="H243" s="4"/>
    </row>
    <row r="244" ht="15.75" customHeight="1">
      <c r="H244" s="4"/>
    </row>
    <row r="245" ht="15.75" customHeight="1">
      <c r="H245" s="4"/>
    </row>
    <row r="246" ht="15.75" customHeight="1">
      <c r="H246" s="4"/>
    </row>
    <row r="247" ht="15.75" customHeight="1">
      <c r="H247" s="4"/>
    </row>
    <row r="248" ht="15.75" customHeight="1">
      <c r="H248" s="4"/>
    </row>
    <row r="249" ht="15.75" customHeight="1">
      <c r="H249" s="4"/>
    </row>
    <row r="250" ht="15.75" customHeight="1">
      <c r="H250" s="4"/>
    </row>
    <row r="251" ht="15.75" customHeight="1">
      <c r="H251" s="4"/>
    </row>
    <row r="252" ht="15.75" customHeight="1">
      <c r="H252" s="4"/>
    </row>
    <row r="253" ht="15.75" customHeight="1">
      <c r="H253" s="4"/>
    </row>
    <row r="254" ht="15.75" customHeight="1">
      <c r="H254" s="4"/>
    </row>
    <row r="255" ht="15.75" customHeight="1">
      <c r="H255" s="4"/>
    </row>
    <row r="256" ht="15.75" customHeight="1">
      <c r="H256" s="4"/>
    </row>
    <row r="257" ht="15.75" customHeight="1">
      <c r="H257" s="4"/>
    </row>
    <row r="258" ht="15.75" customHeight="1">
      <c r="H258" s="4"/>
    </row>
    <row r="259" ht="15.75" customHeight="1">
      <c r="H259" s="4"/>
    </row>
    <row r="260" ht="15.75" customHeight="1">
      <c r="H260" s="4"/>
    </row>
    <row r="261" ht="15.75" customHeight="1">
      <c r="H261" s="4"/>
    </row>
    <row r="262" ht="15.75" customHeight="1">
      <c r="H262" s="4"/>
    </row>
    <row r="263" ht="15.75" customHeight="1">
      <c r="H263" s="4"/>
    </row>
    <row r="264" ht="15.75" customHeight="1">
      <c r="H264" s="4"/>
    </row>
    <row r="265" ht="15.75" customHeight="1">
      <c r="H265" s="4"/>
    </row>
    <row r="266" ht="15.75" customHeight="1">
      <c r="H266" s="4"/>
    </row>
    <row r="267" ht="15.75" customHeight="1">
      <c r="H267" s="4"/>
    </row>
    <row r="268" ht="15.75" customHeight="1">
      <c r="H268" s="4"/>
    </row>
    <row r="269" ht="15.75" customHeight="1">
      <c r="H269" s="4"/>
    </row>
    <row r="270" ht="15.75" customHeight="1">
      <c r="H270" s="4"/>
    </row>
    <row r="271" ht="15.75" customHeight="1">
      <c r="H271" s="4"/>
    </row>
    <row r="272" ht="15.75" customHeight="1">
      <c r="H272" s="4"/>
    </row>
    <row r="273" ht="15.75" customHeight="1">
      <c r="H273" s="4"/>
    </row>
    <row r="274" ht="15.75" customHeight="1">
      <c r="H274" s="4"/>
    </row>
    <row r="275" ht="15.75" customHeight="1">
      <c r="H275" s="4"/>
    </row>
    <row r="276" ht="15.75" customHeight="1">
      <c r="H276" s="4"/>
    </row>
    <row r="277" ht="15.75" customHeight="1">
      <c r="H277" s="4"/>
    </row>
    <row r="278" ht="15.75" customHeight="1">
      <c r="H278" s="4"/>
    </row>
    <row r="279" ht="15.75" customHeight="1">
      <c r="H279" s="4"/>
    </row>
    <row r="280" ht="15.75" customHeight="1">
      <c r="H280" s="4"/>
    </row>
    <row r="281" ht="15.75" customHeight="1">
      <c r="H281" s="4"/>
    </row>
    <row r="282" ht="15.75" customHeight="1">
      <c r="H282" s="4"/>
    </row>
    <row r="283" ht="15.75" customHeight="1">
      <c r="H283" s="4"/>
    </row>
    <row r="284" ht="15.75" customHeight="1">
      <c r="H284" s="4"/>
    </row>
    <row r="285" ht="15.75" customHeight="1">
      <c r="H285" s="4"/>
    </row>
    <row r="286" ht="15.75" customHeight="1">
      <c r="H286" s="4"/>
    </row>
    <row r="287" ht="15.75" customHeight="1">
      <c r="H287" s="4"/>
    </row>
    <row r="288" ht="15.75" customHeight="1">
      <c r="H288" s="4"/>
    </row>
    <row r="289" ht="15.75" customHeight="1">
      <c r="H289" s="4"/>
    </row>
    <row r="290" ht="15.75" customHeight="1">
      <c r="H290" s="4"/>
    </row>
    <row r="291" ht="15.75" customHeight="1">
      <c r="H291" s="4"/>
    </row>
    <row r="292" ht="15.75" customHeight="1">
      <c r="H292" s="4"/>
    </row>
    <row r="293" ht="15.75" customHeight="1">
      <c r="H293" s="4"/>
    </row>
    <row r="294" ht="15.75" customHeight="1">
      <c r="H294" s="4"/>
    </row>
    <row r="295" ht="15.75" customHeight="1">
      <c r="H295" s="4"/>
    </row>
    <row r="296" ht="15.75" customHeight="1">
      <c r="H296" s="4"/>
    </row>
    <row r="297" ht="15.75" customHeight="1">
      <c r="H297" s="4"/>
    </row>
    <row r="298" ht="15.75" customHeight="1">
      <c r="H298" s="4"/>
    </row>
    <row r="299" ht="15.75" customHeight="1">
      <c r="H299" s="4"/>
    </row>
    <row r="300" ht="15.75" customHeight="1">
      <c r="H300" s="4"/>
    </row>
    <row r="301" ht="15.75" customHeight="1">
      <c r="H301" s="4"/>
    </row>
    <row r="302" ht="15.75" customHeight="1">
      <c r="H302" s="4"/>
    </row>
    <row r="303" ht="15.75" customHeight="1">
      <c r="H303" s="4"/>
    </row>
    <row r="304" ht="15.75" customHeight="1">
      <c r="H304" s="4"/>
    </row>
    <row r="305" ht="15.75" customHeight="1">
      <c r="H305" s="4"/>
    </row>
    <row r="306" ht="15.75" customHeight="1">
      <c r="H306" s="4"/>
    </row>
    <row r="307" ht="15.75" customHeight="1">
      <c r="H307" s="4"/>
    </row>
    <row r="308" ht="15.75" customHeight="1">
      <c r="H308" s="4"/>
    </row>
    <row r="309" ht="15.75" customHeight="1">
      <c r="H309" s="4"/>
    </row>
    <row r="310" ht="15.75" customHeight="1">
      <c r="H310" s="4"/>
    </row>
    <row r="311" ht="15.75" customHeight="1">
      <c r="H311" s="4"/>
    </row>
    <row r="312" ht="15.75" customHeight="1">
      <c r="H312" s="4"/>
    </row>
    <row r="313" ht="15.75" customHeight="1">
      <c r="H313" s="4"/>
    </row>
    <row r="314" ht="15.75" customHeight="1">
      <c r="H314" s="4"/>
    </row>
    <row r="315" ht="15.75" customHeight="1">
      <c r="H315" s="4"/>
    </row>
    <row r="316" ht="15.75" customHeight="1">
      <c r="H316" s="4"/>
    </row>
    <row r="317" ht="15.75" customHeight="1">
      <c r="H317" s="4"/>
    </row>
    <row r="318" ht="15.75" customHeight="1">
      <c r="H318" s="4"/>
    </row>
    <row r="319" ht="15.75" customHeight="1">
      <c r="H319" s="4"/>
    </row>
    <row r="320" ht="15.75" customHeight="1">
      <c r="H320" s="4"/>
    </row>
    <row r="321" ht="15.75" customHeight="1">
      <c r="H321" s="4"/>
    </row>
    <row r="322" ht="15.75" customHeight="1">
      <c r="H322" s="4"/>
    </row>
    <row r="323" ht="15.75" customHeight="1">
      <c r="H323" s="4"/>
    </row>
    <row r="324" ht="15.75" customHeight="1">
      <c r="H324" s="4"/>
    </row>
    <row r="325" ht="15.75" customHeight="1">
      <c r="H325" s="4"/>
    </row>
    <row r="326" ht="15.75" customHeight="1">
      <c r="H326" s="4"/>
    </row>
    <row r="327" ht="15.75" customHeight="1">
      <c r="H327" s="4"/>
    </row>
    <row r="328" ht="15.75" customHeight="1">
      <c r="H328" s="4"/>
    </row>
    <row r="329" ht="15.75" customHeight="1">
      <c r="H329" s="4"/>
    </row>
    <row r="330" ht="15.75" customHeight="1">
      <c r="H330" s="4"/>
    </row>
    <row r="331" ht="15.75" customHeight="1">
      <c r="H331" s="4"/>
    </row>
    <row r="332" ht="15.75" customHeight="1">
      <c r="H332" s="4"/>
    </row>
    <row r="333" ht="15.75" customHeight="1">
      <c r="H333" s="4"/>
    </row>
    <row r="334" ht="15.75" customHeight="1">
      <c r="H334" s="4"/>
    </row>
    <row r="335" ht="15.75" customHeight="1">
      <c r="H335" s="4"/>
    </row>
    <row r="336" ht="15.75" customHeight="1">
      <c r="H336" s="4"/>
    </row>
    <row r="337" ht="15.75" customHeight="1">
      <c r="H337" s="4"/>
    </row>
    <row r="338" ht="15.75" customHeight="1">
      <c r="H338" s="4"/>
    </row>
    <row r="339" ht="15.75" customHeight="1">
      <c r="H339" s="4"/>
    </row>
    <row r="340" ht="15.75" customHeight="1">
      <c r="H340" s="4"/>
    </row>
    <row r="341" ht="15.75" customHeight="1">
      <c r="H341" s="4"/>
    </row>
    <row r="342" ht="15.75" customHeight="1">
      <c r="H342" s="4"/>
    </row>
    <row r="343" ht="15.75" customHeight="1">
      <c r="H343" s="4"/>
    </row>
    <row r="344" ht="15.75" customHeight="1">
      <c r="H344" s="4"/>
    </row>
    <row r="345" ht="15.75" customHeight="1">
      <c r="H345" s="4"/>
    </row>
    <row r="346" ht="15.75" customHeight="1">
      <c r="H346" s="4"/>
    </row>
    <row r="347" ht="15.75" customHeight="1">
      <c r="H347" s="4"/>
    </row>
    <row r="348" ht="15.75" customHeight="1">
      <c r="H348" s="4"/>
    </row>
    <row r="349" ht="15.75" customHeight="1">
      <c r="H349" s="4"/>
    </row>
    <row r="350" ht="15.75" customHeight="1">
      <c r="H350" s="4"/>
    </row>
    <row r="351" ht="15.75" customHeight="1">
      <c r="H351" s="4"/>
    </row>
    <row r="352" ht="15.75" customHeight="1">
      <c r="H352" s="4"/>
    </row>
    <row r="353" ht="15.75" customHeight="1">
      <c r="H353" s="4"/>
    </row>
    <row r="354" ht="15.75" customHeight="1">
      <c r="H354" s="4"/>
    </row>
    <row r="355" ht="15.75" customHeight="1">
      <c r="H355" s="4"/>
    </row>
    <row r="356" ht="15.75" customHeight="1">
      <c r="H356" s="4"/>
    </row>
    <row r="357" ht="15.75" customHeight="1">
      <c r="H357" s="4"/>
    </row>
    <row r="358" ht="15.75" customHeight="1">
      <c r="H358" s="4"/>
    </row>
    <row r="359" ht="15.75" customHeight="1">
      <c r="H359" s="4"/>
    </row>
    <row r="360" ht="15.75" customHeight="1">
      <c r="H360" s="4"/>
    </row>
    <row r="361" ht="15.75" customHeight="1">
      <c r="H361" s="4"/>
    </row>
    <row r="362" ht="15.75" customHeight="1">
      <c r="H362" s="4"/>
    </row>
    <row r="363" ht="15.75" customHeight="1">
      <c r="H363" s="4"/>
    </row>
    <row r="364" ht="15.75" customHeight="1">
      <c r="H364" s="4"/>
    </row>
    <row r="365" ht="15.75" customHeight="1">
      <c r="H365" s="4"/>
    </row>
    <row r="366" ht="15.75" customHeight="1">
      <c r="H366" s="4"/>
    </row>
    <row r="367" ht="15.75" customHeight="1">
      <c r="H367" s="4"/>
    </row>
    <row r="368" ht="15.75" customHeight="1">
      <c r="H368" s="4"/>
    </row>
    <row r="369" ht="15.75" customHeight="1">
      <c r="H369" s="4"/>
    </row>
    <row r="370" ht="15.75" customHeight="1">
      <c r="H370" s="4"/>
    </row>
    <row r="371" ht="15.75" customHeight="1">
      <c r="H371" s="4"/>
    </row>
    <row r="372" ht="15.75" customHeight="1">
      <c r="H372" s="4"/>
    </row>
    <row r="373" ht="15.75" customHeight="1">
      <c r="H373" s="4"/>
    </row>
    <row r="374" ht="15.75" customHeight="1">
      <c r="H374" s="4"/>
    </row>
    <row r="375" ht="15.75" customHeight="1">
      <c r="H375" s="4"/>
    </row>
    <row r="376" ht="15.75" customHeight="1">
      <c r="H376" s="4"/>
    </row>
    <row r="377" ht="15.75" customHeight="1">
      <c r="H377" s="4"/>
    </row>
    <row r="378" ht="15.75" customHeight="1">
      <c r="H378" s="4"/>
    </row>
    <row r="379" ht="15.75" customHeight="1">
      <c r="H379" s="4"/>
    </row>
    <row r="380" ht="15.75" customHeight="1">
      <c r="H380" s="4"/>
    </row>
    <row r="381" ht="15.75" customHeight="1">
      <c r="H381" s="4"/>
    </row>
    <row r="382" ht="15.75" customHeight="1">
      <c r="H382" s="4"/>
    </row>
    <row r="383" ht="15.75" customHeight="1">
      <c r="H383" s="4"/>
    </row>
    <row r="384" ht="15.75" customHeight="1">
      <c r="H384" s="4"/>
    </row>
    <row r="385" ht="15.75" customHeight="1">
      <c r="H385" s="4"/>
    </row>
    <row r="386" ht="15.75" customHeight="1">
      <c r="H386" s="4"/>
    </row>
    <row r="387" ht="15.75" customHeight="1">
      <c r="H387" s="4"/>
    </row>
    <row r="388" ht="15.75" customHeight="1">
      <c r="H388" s="4"/>
    </row>
    <row r="389" ht="15.75" customHeight="1">
      <c r="H389" s="4"/>
    </row>
    <row r="390" ht="15.75" customHeight="1">
      <c r="H390" s="4"/>
    </row>
    <row r="391" ht="15.75" customHeight="1">
      <c r="H391" s="4"/>
    </row>
    <row r="392" ht="15.75" customHeight="1">
      <c r="H392" s="4"/>
    </row>
    <row r="393" ht="15.75" customHeight="1">
      <c r="H393" s="4"/>
    </row>
    <row r="394" ht="15.75" customHeight="1">
      <c r="H394" s="4"/>
    </row>
    <row r="395" ht="15.75" customHeight="1">
      <c r="H395" s="4"/>
    </row>
    <row r="396" ht="15.75" customHeight="1">
      <c r="H396" s="4"/>
    </row>
    <row r="397" ht="15.75" customHeight="1">
      <c r="H397" s="4"/>
    </row>
    <row r="398" ht="15.75" customHeight="1">
      <c r="H398" s="4"/>
    </row>
    <row r="399" ht="15.75" customHeight="1">
      <c r="H399" s="4"/>
    </row>
    <row r="400" ht="15.75" customHeight="1">
      <c r="H400" s="4"/>
    </row>
    <row r="401" ht="15.75" customHeight="1">
      <c r="H401" s="4"/>
    </row>
    <row r="402" ht="15.75" customHeight="1">
      <c r="H402" s="4"/>
    </row>
    <row r="403" ht="15.75" customHeight="1">
      <c r="H403" s="4"/>
    </row>
    <row r="404" ht="15.75" customHeight="1">
      <c r="H404" s="4"/>
    </row>
    <row r="405" ht="15.75" customHeight="1">
      <c r="H405" s="4"/>
    </row>
    <row r="406" ht="15.75" customHeight="1">
      <c r="H406" s="4"/>
    </row>
    <row r="407" ht="15.75" customHeight="1">
      <c r="H407" s="4"/>
    </row>
    <row r="408" ht="15.75" customHeight="1">
      <c r="H408" s="4"/>
    </row>
    <row r="409" ht="15.75" customHeight="1">
      <c r="H409" s="4"/>
    </row>
    <row r="410" ht="15.75" customHeight="1">
      <c r="H410" s="4"/>
    </row>
    <row r="411" ht="15.75" customHeight="1">
      <c r="H411" s="4"/>
    </row>
    <row r="412" ht="15.75" customHeight="1">
      <c r="H412" s="4"/>
    </row>
    <row r="413" ht="15.75" customHeight="1">
      <c r="H413" s="4"/>
    </row>
    <row r="414" ht="15.75" customHeight="1">
      <c r="H414" s="4"/>
    </row>
    <row r="415" ht="15.75" customHeight="1">
      <c r="H415" s="4"/>
    </row>
    <row r="416" ht="15.75" customHeight="1">
      <c r="H416" s="4"/>
    </row>
    <row r="417" ht="15.75" customHeight="1">
      <c r="H417" s="4"/>
    </row>
    <row r="418" ht="15.75" customHeight="1">
      <c r="H418" s="4"/>
    </row>
    <row r="419" ht="15.75" customHeight="1">
      <c r="H419" s="4"/>
    </row>
    <row r="420" ht="15.75" customHeight="1">
      <c r="H420" s="4"/>
    </row>
    <row r="421" ht="15.75" customHeight="1">
      <c r="H421" s="4"/>
    </row>
    <row r="422" ht="15.75" customHeight="1">
      <c r="H422" s="4"/>
    </row>
    <row r="423" ht="15.75" customHeight="1">
      <c r="H423" s="4"/>
    </row>
    <row r="424" ht="15.75" customHeight="1">
      <c r="H424" s="4"/>
    </row>
    <row r="425" ht="15.75" customHeight="1">
      <c r="H425" s="4"/>
    </row>
    <row r="426" ht="15.75" customHeight="1">
      <c r="H426" s="4"/>
    </row>
    <row r="427" ht="15.75" customHeight="1">
      <c r="H427" s="4"/>
    </row>
    <row r="428" ht="15.75" customHeight="1">
      <c r="H428" s="4"/>
    </row>
    <row r="429" ht="15.75" customHeight="1">
      <c r="H429" s="4"/>
    </row>
    <row r="430" ht="15.75" customHeight="1">
      <c r="H430" s="4"/>
    </row>
    <row r="431" ht="15.75" customHeight="1">
      <c r="H431" s="4"/>
    </row>
    <row r="432" ht="15.75" customHeight="1">
      <c r="H432" s="4"/>
    </row>
    <row r="433" ht="15.75" customHeight="1">
      <c r="H433" s="4"/>
    </row>
    <row r="434" ht="15.75" customHeight="1">
      <c r="H434" s="4"/>
    </row>
    <row r="435" ht="15.75" customHeight="1">
      <c r="H435" s="4"/>
    </row>
    <row r="436" ht="15.75" customHeight="1">
      <c r="H436" s="4"/>
    </row>
    <row r="437" ht="15.75" customHeight="1">
      <c r="H437" s="4"/>
    </row>
    <row r="438" ht="15.75" customHeight="1">
      <c r="H438" s="4"/>
    </row>
    <row r="439" ht="15.75" customHeight="1">
      <c r="H439" s="4"/>
    </row>
    <row r="440" ht="15.75" customHeight="1">
      <c r="H440" s="4"/>
    </row>
    <row r="441" ht="15.75" customHeight="1">
      <c r="H441" s="4"/>
    </row>
    <row r="442" ht="15.75" customHeight="1">
      <c r="H442" s="4"/>
    </row>
    <row r="443" ht="15.75" customHeight="1">
      <c r="H443" s="4"/>
    </row>
    <row r="444" ht="15.75" customHeight="1">
      <c r="H444" s="4"/>
    </row>
    <row r="445" ht="15.75" customHeight="1">
      <c r="H445" s="4"/>
    </row>
    <row r="446" ht="15.75" customHeight="1">
      <c r="H446" s="4"/>
    </row>
    <row r="447" ht="15.75" customHeight="1">
      <c r="H447" s="4"/>
    </row>
    <row r="448" ht="15.75" customHeight="1">
      <c r="H448" s="4"/>
    </row>
    <row r="449" ht="15.75" customHeight="1">
      <c r="H449" s="4"/>
    </row>
    <row r="450" ht="15.75" customHeight="1">
      <c r="H450" s="4"/>
    </row>
    <row r="451" ht="15.75" customHeight="1">
      <c r="H451" s="4"/>
    </row>
    <row r="452" ht="15.75" customHeight="1">
      <c r="H452" s="4"/>
    </row>
    <row r="453" ht="15.75" customHeight="1">
      <c r="H453" s="4"/>
    </row>
    <row r="454" ht="15.75" customHeight="1">
      <c r="H454" s="4"/>
    </row>
    <row r="455" ht="15.75" customHeight="1">
      <c r="H455" s="4"/>
    </row>
    <row r="456" ht="15.75" customHeight="1">
      <c r="H456" s="4"/>
    </row>
    <row r="457" ht="15.75" customHeight="1">
      <c r="H457" s="4"/>
    </row>
    <row r="458" ht="15.75" customHeight="1">
      <c r="H458" s="4"/>
    </row>
    <row r="459" ht="15.75" customHeight="1">
      <c r="H459" s="4"/>
    </row>
    <row r="460" ht="15.75" customHeight="1">
      <c r="H460" s="4"/>
    </row>
    <row r="461" ht="15.75" customHeight="1">
      <c r="H461" s="4"/>
    </row>
    <row r="462" ht="15.75" customHeight="1">
      <c r="H462" s="4"/>
    </row>
    <row r="463" ht="15.75" customHeight="1">
      <c r="H463" s="4"/>
    </row>
    <row r="464" ht="15.75" customHeight="1">
      <c r="H464" s="4"/>
    </row>
    <row r="465" ht="15.75" customHeight="1">
      <c r="H465" s="4"/>
    </row>
    <row r="466" ht="15.75" customHeight="1">
      <c r="H466" s="4"/>
    </row>
    <row r="467" ht="15.75" customHeight="1">
      <c r="H467" s="4"/>
    </row>
    <row r="468" ht="15.75" customHeight="1">
      <c r="H468" s="4"/>
    </row>
    <row r="469" ht="15.75" customHeight="1">
      <c r="H469" s="4"/>
    </row>
    <row r="470" ht="15.75" customHeight="1">
      <c r="H470" s="4"/>
    </row>
    <row r="471" ht="15.75" customHeight="1">
      <c r="H471" s="4"/>
    </row>
    <row r="472" ht="15.75" customHeight="1">
      <c r="H472" s="4"/>
    </row>
    <row r="473" ht="15.75" customHeight="1">
      <c r="H473" s="4"/>
    </row>
    <row r="474" ht="15.75" customHeight="1">
      <c r="H474" s="4"/>
    </row>
    <row r="475" ht="15.75" customHeight="1">
      <c r="H475" s="4"/>
    </row>
    <row r="476" ht="15.75" customHeight="1">
      <c r="H476" s="4"/>
    </row>
    <row r="477" ht="15.75" customHeight="1">
      <c r="H477" s="4"/>
    </row>
    <row r="478" ht="15.75" customHeight="1">
      <c r="H478" s="4"/>
    </row>
    <row r="479" ht="15.75" customHeight="1">
      <c r="H479" s="4"/>
    </row>
    <row r="480" ht="15.75" customHeight="1">
      <c r="H480" s="4"/>
    </row>
    <row r="481" ht="15.75" customHeight="1">
      <c r="H481" s="4"/>
    </row>
    <row r="482" ht="15.75" customHeight="1">
      <c r="H482" s="4"/>
    </row>
    <row r="483" ht="15.75" customHeight="1">
      <c r="H483" s="4"/>
    </row>
    <row r="484" ht="15.75" customHeight="1">
      <c r="H484" s="4"/>
    </row>
    <row r="485" ht="15.75" customHeight="1">
      <c r="H485" s="4"/>
    </row>
    <row r="486" ht="15.75" customHeight="1">
      <c r="H486" s="4"/>
    </row>
    <row r="487" ht="15.75" customHeight="1">
      <c r="H487" s="4"/>
    </row>
    <row r="488" ht="15.75" customHeight="1">
      <c r="H488" s="4"/>
    </row>
    <row r="489" ht="15.75" customHeight="1">
      <c r="H489" s="4"/>
    </row>
    <row r="490" ht="15.75" customHeight="1">
      <c r="H490" s="4"/>
    </row>
    <row r="491" ht="15.75" customHeight="1">
      <c r="H491" s="4"/>
    </row>
    <row r="492" ht="15.75" customHeight="1">
      <c r="H492" s="4"/>
    </row>
    <row r="493" ht="15.75" customHeight="1">
      <c r="H493" s="4"/>
    </row>
    <row r="494" ht="15.75" customHeight="1">
      <c r="H494" s="4"/>
    </row>
    <row r="495" ht="15.75" customHeight="1">
      <c r="H495" s="4"/>
    </row>
    <row r="496" ht="15.75" customHeight="1">
      <c r="H496" s="4"/>
    </row>
    <row r="497" ht="15.75" customHeight="1">
      <c r="H497" s="4"/>
    </row>
    <row r="498" ht="15.75" customHeight="1">
      <c r="H498" s="4"/>
    </row>
    <row r="499" ht="15.75" customHeight="1">
      <c r="H499" s="4"/>
    </row>
    <row r="500" ht="15.75" customHeight="1">
      <c r="H500" s="4"/>
    </row>
    <row r="501" ht="15.75" customHeight="1">
      <c r="H501" s="4"/>
    </row>
    <row r="502" ht="15.75" customHeight="1">
      <c r="H502" s="4"/>
    </row>
    <row r="503" ht="15.75" customHeight="1">
      <c r="H503" s="4"/>
    </row>
    <row r="504" ht="15.75" customHeight="1">
      <c r="H504" s="4"/>
    </row>
    <row r="505" ht="15.75" customHeight="1">
      <c r="H505" s="4"/>
    </row>
    <row r="506" ht="15.75" customHeight="1">
      <c r="H506" s="4"/>
    </row>
    <row r="507" ht="15.75" customHeight="1">
      <c r="H507" s="4"/>
    </row>
    <row r="508" ht="15.75" customHeight="1">
      <c r="H508" s="4"/>
    </row>
    <row r="509" ht="15.75" customHeight="1">
      <c r="H509" s="4"/>
    </row>
    <row r="510" ht="15.75" customHeight="1">
      <c r="H510" s="4"/>
    </row>
    <row r="511" ht="15.75" customHeight="1">
      <c r="H511" s="4"/>
    </row>
    <row r="512" ht="15.75" customHeight="1">
      <c r="H512" s="4"/>
    </row>
    <row r="513" ht="15.75" customHeight="1">
      <c r="H513" s="4"/>
    </row>
    <row r="514" ht="15.75" customHeight="1">
      <c r="H514" s="4"/>
    </row>
    <row r="515" ht="15.75" customHeight="1">
      <c r="H515" s="4"/>
    </row>
    <row r="516" ht="15.75" customHeight="1">
      <c r="H516" s="4"/>
    </row>
    <row r="517" ht="15.75" customHeight="1">
      <c r="H517" s="4"/>
    </row>
    <row r="518" ht="15.75" customHeight="1">
      <c r="H518" s="4"/>
    </row>
    <row r="519" ht="15.75" customHeight="1">
      <c r="H519" s="4"/>
    </row>
    <row r="520" ht="15.75" customHeight="1">
      <c r="H520" s="4"/>
    </row>
    <row r="521" ht="15.75" customHeight="1">
      <c r="H521" s="4"/>
    </row>
    <row r="522" ht="15.75" customHeight="1">
      <c r="H522" s="4"/>
    </row>
    <row r="523" ht="15.75" customHeight="1">
      <c r="H523" s="4"/>
    </row>
    <row r="524" ht="15.75" customHeight="1">
      <c r="H524" s="4"/>
    </row>
    <row r="525" ht="15.75" customHeight="1">
      <c r="H525" s="4"/>
    </row>
    <row r="526" ht="15.75" customHeight="1">
      <c r="H526" s="4"/>
    </row>
    <row r="527" ht="15.75" customHeight="1">
      <c r="H527" s="4"/>
    </row>
    <row r="528" ht="15.75" customHeight="1">
      <c r="H528" s="4"/>
    </row>
    <row r="529" ht="15.75" customHeight="1">
      <c r="H529" s="4"/>
    </row>
    <row r="530" ht="15.75" customHeight="1">
      <c r="H530" s="4"/>
    </row>
    <row r="531" ht="15.75" customHeight="1">
      <c r="H531" s="4"/>
    </row>
    <row r="532" ht="15.75" customHeight="1">
      <c r="H532" s="4"/>
    </row>
    <row r="533" ht="15.75" customHeight="1">
      <c r="H533" s="4"/>
    </row>
    <row r="534" ht="15.75" customHeight="1">
      <c r="H534" s="4"/>
    </row>
    <row r="535" ht="15.75" customHeight="1">
      <c r="H535" s="4"/>
    </row>
    <row r="536" ht="15.75" customHeight="1">
      <c r="H536" s="4"/>
    </row>
    <row r="537" ht="15.75" customHeight="1">
      <c r="H537" s="4"/>
    </row>
    <row r="538" ht="15.75" customHeight="1">
      <c r="H538" s="4"/>
    </row>
    <row r="539" ht="15.75" customHeight="1">
      <c r="H539" s="4"/>
    </row>
    <row r="540" ht="15.75" customHeight="1">
      <c r="H540" s="4"/>
    </row>
    <row r="541" ht="15.75" customHeight="1">
      <c r="H541" s="4"/>
    </row>
    <row r="542" ht="15.75" customHeight="1">
      <c r="H542" s="4"/>
    </row>
    <row r="543" ht="15.75" customHeight="1">
      <c r="H543" s="4"/>
    </row>
    <row r="544" ht="15.75" customHeight="1">
      <c r="H544" s="4"/>
    </row>
    <row r="545" ht="15.75" customHeight="1">
      <c r="H545" s="4"/>
    </row>
    <row r="546" ht="15.75" customHeight="1">
      <c r="H546" s="4"/>
    </row>
    <row r="547" ht="15.75" customHeight="1">
      <c r="H547" s="4"/>
    </row>
    <row r="548" ht="15.75" customHeight="1">
      <c r="H548" s="4"/>
    </row>
    <row r="549" ht="15.75" customHeight="1">
      <c r="H549" s="4"/>
    </row>
    <row r="550" ht="15.75" customHeight="1">
      <c r="H550" s="4"/>
    </row>
    <row r="551" ht="15.75" customHeight="1">
      <c r="H551" s="4"/>
    </row>
    <row r="552" ht="15.75" customHeight="1">
      <c r="H552" s="4"/>
    </row>
    <row r="553" ht="15.75" customHeight="1">
      <c r="H553" s="4"/>
    </row>
    <row r="554" ht="15.75" customHeight="1">
      <c r="H554" s="4"/>
    </row>
    <row r="555" ht="15.75" customHeight="1">
      <c r="H555" s="4"/>
    </row>
    <row r="556" ht="15.75" customHeight="1">
      <c r="H556" s="4"/>
    </row>
    <row r="557" ht="15.75" customHeight="1">
      <c r="H557" s="4"/>
    </row>
    <row r="558" ht="15.75" customHeight="1">
      <c r="H558" s="4"/>
    </row>
    <row r="559" ht="15.75" customHeight="1">
      <c r="H559" s="4"/>
    </row>
    <row r="560" ht="15.75" customHeight="1">
      <c r="H560" s="4"/>
    </row>
    <row r="561" ht="15.75" customHeight="1">
      <c r="H561" s="4"/>
    </row>
    <row r="562" ht="15.75" customHeight="1">
      <c r="H562" s="4"/>
    </row>
    <row r="563" ht="15.75" customHeight="1">
      <c r="H563" s="4"/>
    </row>
    <row r="564" ht="15.75" customHeight="1">
      <c r="H564" s="4"/>
    </row>
    <row r="565" ht="15.75" customHeight="1">
      <c r="H565" s="4"/>
    </row>
    <row r="566" ht="15.75" customHeight="1">
      <c r="H566" s="4"/>
    </row>
    <row r="567" ht="15.75" customHeight="1">
      <c r="H567" s="4"/>
    </row>
    <row r="568" ht="15.75" customHeight="1">
      <c r="H568" s="4"/>
    </row>
    <row r="569" ht="15.75" customHeight="1">
      <c r="H569" s="4"/>
    </row>
    <row r="570" ht="15.75" customHeight="1">
      <c r="H570" s="4"/>
    </row>
    <row r="571" ht="15.75" customHeight="1">
      <c r="H571" s="4"/>
    </row>
    <row r="572" ht="15.75" customHeight="1">
      <c r="H572" s="4"/>
    </row>
    <row r="573" ht="15.75" customHeight="1">
      <c r="H573" s="4"/>
    </row>
    <row r="574" ht="15.75" customHeight="1">
      <c r="H574" s="4"/>
    </row>
    <row r="575" ht="15.75" customHeight="1">
      <c r="H575" s="4"/>
    </row>
    <row r="576" ht="15.75" customHeight="1">
      <c r="H576" s="4"/>
    </row>
    <row r="577" ht="15.75" customHeight="1">
      <c r="H577" s="4"/>
    </row>
    <row r="578" ht="15.75" customHeight="1">
      <c r="H578" s="4"/>
    </row>
    <row r="579" ht="15.75" customHeight="1">
      <c r="H579" s="4"/>
    </row>
    <row r="580" ht="15.75" customHeight="1">
      <c r="H580" s="4"/>
    </row>
    <row r="581" ht="15.75" customHeight="1">
      <c r="H581" s="4"/>
    </row>
    <row r="582" ht="15.75" customHeight="1">
      <c r="H582" s="4"/>
    </row>
    <row r="583" ht="15.75" customHeight="1">
      <c r="H583" s="4"/>
    </row>
    <row r="584" ht="15.75" customHeight="1">
      <c r="H584" s="4"/>
    </row>
    <row r="585" ht="15.75" customHeight="1">
      <c r="H585" s="4"/>
    </row>
    <row r="586" ht="15.75" customHeight="1">
      <c r="H586" s="4"/>
    </row>
    <row r="587" ht="15.75" customHeight="1">
      <c r="H587" s="4"/>
    </row>
    <row r="588" ht="15.75" customHeight="1">
      <c r="H588" s="4"/>
    </row>
    <row r="589" ht="15.75" customHeight="1">
      <c r="H589" s="4"/>
    </row>
    <row r="590" ht="15.75" customHeight="1">
      <c r="H590" s="4"/>
    </row>
    <row r="591" ht="15.75" customHeight="1">
      <c r="H591" s="4"/>
    </row>
    <row r="592" ht="15.75" customHeight="1">
      <c r="H592" s="4"/>
    </row>
    <row r="593" ht="15.75" customHeight="1">
      <c r="H593" s="4"/>
    </row>
    <row r="594" ht="15.75" customHeight="1">
      <c r="H594" s="4"/>
    </row>
    <row r="595" ht="15.75" customHeight="1">
      <c r="H595" s="4"/>
    </row>
    <row r="596" ht="15.75" customHeight="1">
      <c r="H596" s="4"/>
    </row>
    <row r="597" ht="15.75" customHeight="1">
      <c r="H597" s="4"/>
    </row>
    <row r="598" ht="15.75" customHeight="1">
      <c r="H598" s="4"/>
    </row>
    <row r="599" ht="15.75" customHeight="1">
      <c r="H599" s="4"/>
    </row>
    <row r="600" ht="15.75" customHeight="1">
      <c r="H600" s="4"/>
    </row>
    <row r="601" ht="15.75" customHeight="1">
      <c r="H601" s="4"/>
    </row>
    <row r="602" ht="15.75" customHeight="1">
      <c r="H602" s="4"/>
    </row>
    <row r="603" ht="15.75" customHeight="1">
      <c r="H603" s="4"/>
    </row>
    <row r="604" ht="15.75" customHeight="1">
      <c r="H604" s="4"/>
    </row>
    <row r="605" ht="15.75" customHeight="1">
      <c r="H605" s="4"/>
    </row>
    <row r="606" ht="15.75" customHeight="1">
      <c r="H606" s="4"/>
    </row>
    <row r="607" ht="15.75" customHeight="1">
      <c r="H607" s="4"/>
    </row>
    <row r="608" ht="15.75" customHeight="1">
      <c r="H608" s="4"/>
    </row>
    <row r="609" ht="15.75" customHeight="1">
      <c r="H609" s="4"/>
    </row>
    <row r="610" ht="15.75" customHeight="1">
      <c r="H610" s="4"/>
    </row>
    <row r="611" ht="15.75" customHeight="1">
      <c r="H611" s="4"/>
    </row>
    <row r="612" ht="15.75" customHeight="1">
      <c r="H612" s="4"/>
    </row>
    <row r="613" ht="15.75" customHeight="1">
      <c r="H613" s="4"/>
    </row>
    <row r="614" ht="15.75" customHeight="1">
      <c r="H614" s="4"/>
    </row>
    <row r="615" ht="15.75" customHeight="1">
      <c r="H615" s="4"/>
    </row>
    <row r="616" ht="15.75" customHeight="1">
      <c r="H616" s="4"/>
    </row>
    <row r="617" ht="15.75" customHeight="1">
      <c r="H617" s="4"/>
    </row>
    <row r="618" ht="15.75" customHeight="1">
      <c r="H618" s="4"/>
    </row>
    <row r="619" ht="15.75" customHeight="1">
      <c r="H619" s="4"/>
    </row>
    <row r="620" ht="15.75" customHeight="1">
      <c r="H620" s="4"/>
    </row>
    <row r="621" ht="15.75" customHeight="1">
      <c r="H621" s="4"/>
    </row>
    <row r="622" ht="15.75" customHeight="1">
      <c r="H622" s="4"/>
    </row>
    <row r="623" ht="15.75" customHeight="1">
      <c r="H623" s="4"/>
    </row>
    <row r="624" ht="15.75" customHeight="1">
      <c r="H624" s="4"/>
    </row>
    <row r="625" ht="15.75" customHeight="1">
      <c r="H625" s="4"/>
    </row>
    <row r="626" ht="15.75" customHeight="1">
      <c r="H626" s="4"/>
    </row>
    <row r="627" ht="15.75" customHeight="1">
      <c r="H627" s="4"/>
    </row>
    <row r="628" ht="15.75" customHeight="1">
      <c r="H628" s="4"/>
    </row>
    <row r="629" ht="15.75" customHeight="1">
      <c r="H629" s="4"/>
    </row>
    <row r="630" ht="15.75" customHeight="1">
      <c r="H630" s="4"/>
    </row>
    <row r="631" ht="15.75" customHeight="1">
      <c r="H631" s="4"/>
    </row>
    <row r="632" ht="15.75" customHeight="1">
      <c r="H632" s="4"/>
    </row>
    <row r="633" ht="15.75" customHeight="1">
      <c r="H633" s="4"/>
    </row>
    <row r="634" ht="15.75" customHeight="1">
      <c r="H634" s="4"/>
    </row>
    <row r="635" ht="15.75" customHeight="1">
      <c r="H635" s="4"/>
    </row>
    <row r="636" ht="15.75" customHeight="1">
      <c r="H636" s="4"/>
    </row>
    <row r="637" ht="15.75" customHeight="1">
      <c r="H637" s="4"/>
    </row>
    <row r="638" ht="15.75" customHeight="1">
      <c r="H638" s="4"/>
    </row>
    <row r="639" ht="15.75" customHeight="1">
      <c r="H639" s="4"/>
    </row>
    <row r="640" ht="15.75" customHeight="1">
      <c r="H640" s="4"/>
    </row>
    <row r="641" ht="15.75" customHeight="1">
      <c r="H641" s="4"/>
    </row>
    <row r="642" ht="15.75" customHeight="1">
      <c r="H642" s="4"/>
    </row>
    <row r="643" ht="15.75" customHeight="1">
      <c r="H643" s="4"/>
    </row>
    <row r="644" ht="15.75" customHeight="1">
      <c r="H644" s="4"/>
    </row>
    <row r="645" ht="15.75" customHeight="1">
      <c r="H645" s="4"/>
    </row>
    <row r="646" ht="15.75" customHeight="1">
      <c r="H646" s="4"/>
    </row>
    <row r="647" ht="15.75" customHeight="1">
      <c r="H647" s="4"/>
    </row>
    <row r="648" ht="15.75" customHeight="1">
      <c r="H648" s="4"/>
    </row>
    <row r="649" ht="15.75" customHeight="1">
      <c r="H649" s="4"/>
    </row>
    <row r="650" ht="15.75" customHeight="1">
      <c r="H650" s="4"/>
    </row>
    <row r="651" ht="15.75" customHeight="1">
      <c r="H651" s="4"/>
    </row>
    <row r="652" ht="15.75" customHeight="1">
      <c r="H652" s="4"/>
    </row>
    <row r="653" ht="15.75" customHeight="1">
      <c r="H653" s="4"/>
    </row>
    <row r="654" ht="15.75" customHeight="1">
      <c r="H654" s="4"/>
    </row>
    <row r="655" ht="15.75" customHeight="1">
      <c r="H655" s="4"/>
    </row>
    <row r="656" ht="15.75" customHeight="1">
      <c r="H656" s="4"/>
    </row>
    <row r="657" ht="15.75" customHeight="1">
      <c r="H657" s="4"/>
    </row>
    <row r="658" ht="15.75" customHeight="1">
      <c r="H658" s="4"/>
    </row>
    <row r="659" ht="15.75" customHeight="1">
      <c r="H659" s="4"/>
    </row>
    <row r="660" ht="15.75" customHeight="1">
      <c r="H660" s="4"/>
    </row>
    <row r="661" ht="15.75" customHeight="1">
      <c r="H661" s="4"/>
    </row>
    <row r="662" ht="15.75" customHeight="1">
      <c r="H662" s="4"/>
    </row>
    <row r="663" ht="15.75" customHeight="1">
      <c r="H663" s="4"/>
    </row>
    <row r="664" ht="15.75" customHeight="1">
      <c r="H664" s="4"/>
    </row>
    <row r="665" ht="15.75" customHeight="1">
      <c r="H665" s="4"/>
    </row>
    <row r="666" ht="15.75" customHeight="1">
      <c r="H666" s="4"/>
    </row>
    <row r="667" ht="15.75" customHeight="1">
      <c r="H667" s="4"/>
    </row>
    <row r="668" ht="15.75" customHeight="1">
      <c r="H668" s="4"/>
    </row>
    <row r="669" ht="15.75" customHeight="1">
      <c r="H669" s="4"/>
    </row>
    <row r="670" ht="15.75" customHeight="1">
      <c r="H670" s="4"/>
    </row>
    <row r="671" ht="15.75" customHeight="1">
      <c r="H671" s="4"/>
    </row>
    <row r="672" ht="15.75" customHeight="1">
      <c r="H672" s="4"/>
    </row>
    <row r="673" ht="15.75" customHeight="1">
      <c r="H673" s="4"/>
    </row>
    <row r="674" ht="15.75" customHeight="1">
      <c r="H674" s="4"/>
    </row>
    <row r="675" ht="15.75" customHeight="1">
      <c r="H675" s="4"/>
    </row>
    <row r="676" ht="15.75" customHeight="1">
      <c r="H676" s="4"/>
    </row>
    <row r="677" ht="15.75" customHeight="1">
      <c r="H677" s="4"/>
    </row>
    <row r="678" ht="15.75" customHeight="1">
      <c r="H678" s="4"/>
    </row>
    <row r="679" ht="15.75" customHeight="1">
      <c r="H679" s="4"/>
    </row>
    <row r="680" ht="15.75" customHeight="1">
      <c r="H680" s="4"/>
    </row>
    <row r="681" ht="15.75" customHeight="1">
      <c r="H681" s="4"/>
    </row>
    <row r="682" ht="15.75" customHeight="1">
      <c r="H682" s="4"/>
    </row>
    <row r="683" ht="15.75" customHeight="1">
      <c r="H683" s="4"/>
    </row>
    <row r="684" ht="15.75" customHeight="1">
      <c r="H684" s="4"/>
    </row>
    <row r="685" ht="15.75" customHeight="1">
      <c r="H685" s="4"/>
    </row>
    <row r="686" ht="15.75" customHeight="1">
      <c r="H686" s="4"/>
    </row>
    <row r="687" ht="15.75" customHeight="1">
      <c r="H687" s="4"/>
    </row>
    <row r="688" ht="15.75" customHeight="1">
      <c r="H688" s="4"/>
    </row>
    <row r="689" ht="15.75" customHeight="1">
      <c r="H689" s="4"/>
    </row>
    <row r="690" ht="15.75" customHeight="1">
      <c r="H690" s="4"/>
    </row>
    <row r="691" ht="15.75" customHeight="1">
      <c r="H691" s="4"/>
    </row>
    <row r="692" ht="15.75" customHeight="1">
      <c r="H692" s="4"/>
    </row>
    <row r="693" ht="15.75" customHeight="1">
      <c r="H693" s="4"/>
    </row>
    <row r="694" ht="15.75" customHeight="1">
      <c r="H694" s="4"/>
    </row>
    <row r="695" ht="15.75" customHeight="1">
      <c r="H695" s="4"/>
    </row>
    <row r="696" ht="15.75" customHeight="1">
      <c r="H696" s="4"/>
    </row>
    <row r="697" ht="15.75" customHeight="1">
      <c r="H697" s="4"/>
    </row>
    <row r="698" ht="15.75" customHeight="1">
      <c r="H698" s="4"/>
    </row>
    <row r="699" ht="15.75" customHeight="1">
      <c r="H699" s="4"/>
    </row>
    <row r="700" ht="15.75" customHeight="1">
      <c r="H700" s="4"/>
    </row>
    <row r="701" ht="15.75" customHeight="1">
      <c r="H701" s="4"/>
    </row>
    <row r="702" ht="15.75" customHeight="1">
      <c r="H702" s="4"/>
    </row>
    <row r="703" ht="15.75" customHeight="1">
      <c r="H703" s="4"/>
    </row>
    <row r="704" ht="15.75" customHeight="1">
      <c r="H704" s="4"/>
    </row>
    <row r="705" ht="15.75" customHeight="1">
      <c r="H705" s="4"/>
    </row>
    <row r="706" ht="15.75" customHeight="1">
      <c r="H706" s="4"/>
    </row>
    <row r="707" ht="15.75" customHeight="1">
      <c r="H707" s="4"/>
    </row>
    <row r="708" ht="15.75" customHeight="1">
      <c r="H708" s="4"/>
    </row>
    <row r="709" ht="15.75" customHeight="1">
      <c r="H709" s="4"/>
    </row>
    <row r="710" ht="15.75" customHeight="1">
      <c r="H710" s="4"/>
    </row>
    <row r="711" ht="15.75" customHeight="1">
      <c r="H711" s="4"/>
    </row>
    <row r="712" ht="15.75" customHeight="1">
      <c r="H712" s="4"/>
    </row>
    <row r="713" ht="15.75" customHeight="1">
      <c r="H713" s="4"/>
    </row>
    <row r="714" ht="15.75" customHeight="1">
      <c r="H714" s="4"/>
    </row>
    <row r="715" ht="15.75" customHeight="1">
      <c r="H715" s="4"/>
    </row>
    <row r="716" ht="15.75" customHeight="1">
      <c r="H716" s="4"/>
    </row>
    <row r="717" ht="15.75" customHeight="1">
      <c r="H717" s="4"/>
    </row>
    <row r="718" ht="15.75" customHeight="1">
      <c r="H718" s="4"/>
    </row>
    <row r="719" ht="15.75" customHeight="1">
      <c r="H719" s="4"/>
    </row>
    <row r="720" ht="15.75" customHeight="1">
      <c r="H720" s="4"/>
    </row>
    <row r="721" ht="15.75" customHeight="1">
      <c r="H721" s="4"/>
    </row>
    <row r="722" ht="15.75" customHeight="1">
      <c r="H722" s="4"/>
    </row>
    <row r="723" ht="15.75" customHeight="1">
      <c r="H723" s="4"/>
    </row>
    <row r="724" ht="15.75" customHeight="1">
      <c r="H724" s="4"/>
    </row>
    <row r="725" ht="15.75" customHeight="1">
      <c r="H725" s="4"/>
    </row>
    <row r="726" ht="15.75" customHeight="1">
      <c r="H726" s="4"/>
    </row>
    <row r="727" ht="15.75" customHeight="1">
      <c r="H727" s="4"/>
    </row>
    <row r="728" ht="15.75" customHeight="1">
      <c r="H728" s="4"/>
    </row>
    <row r="729" ht="15.75" customHeight="1">
      <c r="H729" s="4"/>
    </row>
    <row r="730" ht="15.75" customHeight="1">
      <c r="H730" s="4"/>
    </row>
    <row r="731" ht="15.75" customHeight="1">
      <c r="H731" s="4"/>
    </row>
    <row r="732" ht="15.75" customHeight="1">
      <c r="H732" s="4"/>
    </row>
    <row r="733" ht="15.75" customHeight="1">
      <c r="H733" s="4"/>
    </row>
    <row r="734" ht="15.75" customHeight="1">
      <c r="H734" s="4"/>
    </row>
    <row r="735" ht="15.75" customHeight="1">
      <c r="H735" s="4"/>
    </row>
    <row r="736" ht="15.75" customHeight="1">
      <c r="H736" s="4"/>
    </row>
    <row r="737" ht="15.75" customHeight="1">
      <c r="H737" s="4"/>
    </row>
    <row r="738" ht="15.75" customHeight="1">
      <c r="H738" s="4"/>
    </row>
    <row r="739" ht="15.75" customHeight="1">
      <c r="H739" s="4"/>
    </row>
    <row r="740" ht="15.75" customHeight="1">
      <c r="H740" s="4"/>
    </row>
    <row r="741" ht="15.75" customHeight="1">
      <c r="H741" s="4"/>
    </row>
    <row r="742" ht="15.75" customHeight="1">
      <c r="H742" s="4"/>
    </row>
    <row r="743" ht="15.75" customHeight="1">
      <c r="H743" s="4"/>
    </row>
    <row r="744" ht="15.75" customHeight="1">
      <c r="H744" s="4"/>
    </row>
    <row r="745" ht="15.75" customHeight="1">
      <c r="H745" s="4"/>
    </row>
    <row r="746" ht="15.75" customHeight="1">
      <c r="H746" s="4"/>
    </row>
    <row r="747" ht="15.75" customHeight="1">
      <c r="H747" s="4"/>
    </row>
    <row r="748" ht="15.75" customHeight="1">
      <c r="H748" s="4"/>
    </row>
    <row r="749" ht="15.75" customHeight="1">
      <c r="H749" s="4"/>
    </row>
    <row r="750" ht="15.75" customHeight="1">
      <c r="H750" s="4"/>
    </row>
    <row r="751" ht="15.75" customHeight="1">
      <c r="H751" s="4"/>
    </row>
    <row r="752" ht="15.75" customHeight="1">
      <c r="H752" s="4"/>
    </row>
    <row r="753" ht="15.75" customHeight="1">
      <c r="H753" s="4"/>
    </row>
    <row r="754" ht="15.75" customHeight="1">
      <c r="H754" s="4"/>
    </row>
    <row r="755" ht="15.75" customHeight="1">
      <c r="H755" s="4"/>
    </row>
    <row r="756" ht="15.75" customHeight="1">
      <c r="H756" s="4"/>
    </row>
    <row r="757" ht="15.75" customHeight="1">
      <c r="H757" s="4"/>
    </row>
    <row r="758" ht="15.75" customHeight="1">
      <c r="H758" s="4"/>
    </row>
    <row r="759" ht="15.75" customHeight="1">
      <c r="H759" s="4"/>
    </row>
    <row r="760" ht="15.75" customHeight="1">
      <c r="H760" s="4"/>
    </row>
    <row r="761" ht="15.75" customHeight="1">
      <c r="H761" s="4"/>
    </row>
    <row r="762" ht="15.75" customHeight="1">
      <c r="H762" s="4"/>
    </row>
    <row r="763" ht="15.75" customHeight="1">
      <c r="H763" s="4"/>
    </row>
    <row r="764" ht="15.75" customHeight="1">
      <c r="H764" s="4"/>
    </row>
    <row r="765" ht="15.75" customHeight="1">
      <c r="H765" s="4"/>
    </row>
    <row r="766" ht="15.75" customHeight="1">
      <c r="H766" s="4"/>
    </row>
    <row r="767" ht="15.75" customHeight="1">
      <c r="H767" s="4"/>
    </row>
    <row r="768" ht="15.75" customHeight="1">
      <c r="H768" s="4"/>
    </row>
    <row r="769" ht="15.75" customHeight="1">
      <c r="H769" s="4"/>
    </row>
    <row r="770" ht="15.75" customHeight="1">
      <c r="H770" s="4"/>
    </row>
    <row r="771" ht="15.75" customHeight="1">
      <c r="H771" s="4"/>
    </row>
    <row r="772" ht="15.75" customHeight="1">
      <c r="H772" s="4"/>
    </row>
    <row r="773" ht="15.75" customHeight="1">
      <c r="H773" s="4"/>
    </row>
    <row r="774" ht="15.75" customHeight="1">
      <c r="H774" s="4"/>
    </row>
    <row r="775" ht="15.75" customHeight="1">
      <c r="H775" s="4"/>
    </row>
    <row r="776" ht="15.75" customHeight="1">
      <c r="H776" s="4"/>
    </row>
    <row r="777" ht="15.75" customHeight="1">
      <c r="H777" s="4"/>
    </row>
    <row r="778" ht="15.75" customHeight="1">
      <c r="H778" s="4"/>
    </row>
    <row r="779" ht="15.75" customHeight="1">
      <c r="H779" s="4"/>
    </row>
    <row r="780" ht="15.75" customHeight="1">
      <c r="H780" s="4"/>
    </row>
    <row r="781" ht="15.75" customHeight="1">
      <c r="H781" s="4"/>
    </row>
    <row r="782" ht="15.75" customHeight="1">
      <c r="H782" s="4"/>
    </row>
    <row r="783" ht="15.75" customHeight="1">
      <c r="H783" s="4"/>
    </row>
    <row r="784" ht="15.75" customHeight="1">
      <c r="H784" s="4"/>
    </row>
    <row r="785" ht="15.75" customHeight="1">
      <c r="H785" s="4"/>
    </row>
    <row r="786" ht="15.75" customHeight="1">
      <c r="H786" s="4"/>
    </row>
    <row r="787" ht="15.75" customHeight="1">
      <c r="H787" s="4"/>
    </row>
    <row r="788" ht="15.75" customHeight="1">
      <c r="H788" s="4"/>
    </row>
    <row r="789" ht="15.75" customHeight="1">
      <c r="H789" s="4"/>
    </row>
    <row r="790" ht="15.75" customHeight="1">
      <c r="H790" s="4"/>
    </row>
    <row r="791" ht="15.75" customHeight="1">
      <c r="H791" s="4"/>
    </row>
    <row r="792" ht="15.75" customHeight="1">
      <c r="H792" s="4"/>
    </row>
    <row r="793" ht="15.75" customHeight="1">
      <c r="H793" s="4"/>
    </row>
    <row r="794" ht="15.75" customHeight="1">
      <c r="H794" s="4"/>
    </row>
    <row r="795" ht="15.75" customHeight="1">
      <c r="H795" s="4"/>
    </row>
    <row r="796" ht="15.75" customHeight="1">
      <c r="H796" s="4"/>
    </row>
    <row r="797" ht="15.75" customHeight="1">
      <c r="H797" s="4"/>
    </row>
    <row r="798" ht="15.75" customHeight="1">
      <c r="H798" s="4"/>
    </row>
    <row r="799" ht="15.75" customHeight="1">
      <c r="H799" s="4"/>
    </row>
    <row r="800" ht="15.75" customHeight="1">
      <c r="H800" s="4"/>
    </row>
    <row r="801" ht="15.75" customHeight="1">
      <c r="H801" s="4"/>
    </row>
    <row r="802" ht="15.75" customHeight="1">
      <c r="H802" s="4"/>
    </row>
    <row r="803" ht="15.75" customHeight="1">
      <c r="H803" s="4"/>
    </row>
    <row r="804" ht="15.75" customHeight="1">
      <c r="H804" s="4"/>
    </row>
    <row r="805" ht="15.75" customHeight="1">
      <c r="H805" s="4"/>
    </row>
    <row r="806" ht="15.75" customHeight="1">
      <c r="H806" s="4"/>
    </row>
    <row r="807" ht="15.75" customHeight="1">
      <c r="H807" s="4"/>
    </row>
    <row r="808" ht="15.75" customHeight="1">
      <c r="H808" s="4"/>
    </row>
    <row r="809" ht="15.75" customHeight="1">
      <c r="H809" s="4"/>
    </row>
    <row r="810" ht="15.75" customHeight="1">
      <c r="H810" s="4"/>
    </row>
    <row r="811" ht="15.75" customHeight="1">
      <c r="H811" s="4"/>
    </row>
    <row r="812" ht="15.75" customHeight="1">
      <c r="H812" s="4"/>
    </row>
    <row r="813" ht="15.75" customHeight="1">
      <c r="H813" s="4"/>
    </row>
    <row r="814" ht="15.75" customHeight="1">
      <c r="H814" s="4"/>
    </row>
    <row r="815" ht="15.75" customHeight="1">
      <c r="H815" s="4"/>
    </row>
    <row r="816" ht="15.75" customHeight="1">
      <c r="H816" s="4"/>
    </row>
    <row r="817" ht="15.75" customHeight="1">
      <c r="H817" s="4"/>
    </row>
    <row r="818" ht="15.75" customHeight="1">
      <c r="H818" s="4"/>
    </row>
    <row r="819" ht="15.75" customHeight="1">
      <c r="H819" s="4"/>
    </row>
    <row r="820" ht="15.75" customHeight="1">
      <c r="H820" s="4"/>
    </row>
    <row r="821" ht="15.75" customHeight="1">
      <c r="H821" s="4"/>
    </row>
    <row r="822" ht="15.75" customHeight="1">
      <c r="H822" s="4"/>
    </row>
    <row r="823" ht="15.75" customHeight="1">
      <c r="H823" s="4"/>
    </row>
    <row r="824" ht="15.75" customHeight="1">
      <c r="H824" s="4"/>
    </row>
    <row r="825" ht="15.75" customHeight="1">
      <c r="H825" s="4"/>
    </row>
    <row r="826" ht="15.75" customHeight="1">
      <c r="H826" s="4"/>
    </row>
    <row r="827" ht="15.75" customHeight="1">
      <c r="H827" s="4"/>
    </row>
    <row r="828" ht="15.75" customHeight="1">
      <c r="H828" s="4"/>
    </row>
    <row r="829" ht="15.75" customHeight="1">
      <c r="H829" s="4"/>
    </row>
    <row r="830" ht="15.75" customHeight="1">
      <c r="H830" s="4"/>
    </row>
    <row r="831" ht="15.75" customHeight="1">
      <c r="H831" s="4"/>
    </row>
    <row r="832" ht="15.75" customHeight="1">
      <c r="H832" s="4"/>
    </row>
    <row r="833" ht="15.75" customHeight="1">
      <c r="H833" s="4"/>
    </row>
    <row r="834" ht="15.75" customHeight="1">
      <c r="H834" s="4"/>
    </row>
    <row r="835" ht="15.75" customHeight="1">
      <c r="H835" s="4"/>
    </row>
    <row r="836" ht="15.75" customHeight="1">
      <c r="H836" s="4"/>
    </row>
    <row r="837" ht="15.75" customHeight="1">
      <c r="H837" s="4"/>
    </row>
    <row r="838" ht="15.75" customHeight="1">
      <c r="H838" s="4"/>
    </row>
    <row r="839" ht="15.75" customHeight="1">
      <c r="H839" s="4"/>
    </row>
    <row r="840" ht="15.75" customHeight="1">
      <c r="H840" s="4"/>
    </row>
    <row r="841" ht="15.75" customHeight="1">
      <c r="H841" s="4"/>
    </row>
    <row r="842" ht="15.75" customHeight="1">
      <c r="H842" s="4"/>
    </row>
    <row r="843" ht="15.75" customHeight="1">
      <c r="H843" s="4"/>
    </row>
    <row r="844" ht="15.75" customHeight="1">
      <c r="H844" s="4"/>
    </row>
    <row r="845" ht="15.75" customHeight="1">
      <c r="H845" s="4"/>
    </row>
    <row r="846" ht="15.75" customHeight="1">
      <c r="H846" s="4"/>
    </row>
    <row r="847" ht="15.75" customHeight="1">
      <c r="H847" s="4"/>
    </row>
    <row r="848" ht="15.75" customHeight="1">
      <c r="H848" s="4"/>
    </row>
    <row r="849" ht="15.75" customHeight="1">
      <c r="H849" s="4"/>
    </row>
    <row r="850" ht="15.75" customHeight="1">
      <c r="H850" s="4"/>
    </row>
    <row r="851" ht="15.75" customHeight="1">
      <c r="H851" s="4"/>
    </row>
    <row r="852" ht="15.75" customHeight="1">
      <c r="H852" s="4"/>
    </row>
    <row r="853" ht="15.75" customHeight="1">
      <c r="H853" s="4"/>
    </row>
    <row r="854" ht="15.75" customHeight="1">
      <c r="H854" s="4"/>
    </row>
    <row r="855" ht="15.75" customHeight="1">
      <c r="H855" s="4"/>
    </row>
    <row r="856" ht="15.75" customHeight="1">
      <c r="H856" s="4"/>
    </row>
    <row r="857" ht="15.75" customHeight="1">
      <c r="H857" s="4"/>
    </row>
    <row r="858" ht="15.75" customHeight="1">
      <c r="H858" s="4"/>
    </row>
    <row r="859" ht="15.75" customHeight="1">
      <c r="H859" s="4"/>
    </row>
    <row r="860" ht="15.75" customHeight="1">
      <c r="H860" s="4"/>
    </row>
    <row r="861" ht="15.75" customHeight="1">
      <c r="H861" s="4"/>
    </row>
    <row r="862" ht="15.75" customHeight="1">
      <c r="H862" s="4"/>
    </row>
    <row r="863" ht="15.75" customHeight="1">
      <c r="H863" s="4"/>
    </row>
    <row r="864" ht="15.75" customHeight="1">
      <c r="H864" s="4"/>
    </row>
    <row r="865" ht="15.75" customHeight="1">
      <c r="H865" s="4"/>
    </row>
    <row r="866" ht="15.75" customHeight="1">
      <c r="H866" s="4"/>
    </row>
    <row r="867" ht="15.75" customHeight="1">
      <c r="H867" s="4"/>
    </row>
    <row r="868" ht="15.75" customHeight="1">
      <c r="H868" s="4"/>
    </row>
    <row r="869" ht="15.75" customHeight="1">
      <c r="H869" s="4"/>
    </row>
    <row r="870" ht="15.75" customHeight="1">
      <c r="H870" s="4"/>
    </row>
    <row r="871" ht="15.75" customHeight="1">
      <c r="H871" s="4"/>
    </row>
    <row r="872" ht="15.75" customHeight="1">
      <c r="H872" s="4"/>
    </row>
    <row r="873" ht="15.75" customHeight="1">
      <c r="H873" s="4"/>
    </row>
    <row r="874" ht="15.75" customHeight="1">
      <c r="H874" s="4"/>
    </row>
    <row r="875" ht="15.75" customHeight="1">
      <c r="H875" s="4"/>
    </row>
    <row r="876" ht="15.75" customHeight="1">
      <c r="H876" s="4"/>
    </row>
    <row r="877" ht="15.75" customHeight="1">
      <c r="H877" s="4"/>
    </row>
    <row r="878" ht="15.75" customHeight="1">
      <c r="H878" s="4"/>
    </row>
    <row r="879" ht="15.75" customHeight="1">
      <c r="H879" s="4"/>
    </row>
    <row r="880" ht="15.75" customHeight="1">
      <c r="H880" s="4"/>
    </row>
    <row r="881" ht="15.75" customHeight="1">
      <c r="H881" s="4"/>
    </row>
    <row r="882" ht="15.75" customHeight="1">
      <c r="H882" s="4"/>
    </row>
    <row r="883" ht="15.75" customHeight="1">
      <c r="H883" s="4"/>
    </row>
    <row r="884" ht="15.75" customHeight="1">
      <c r="H884" s="4"/>
    </row>
    <row r="885" ht="15.75" customHeight="1">
      <c r="H885" s="4"/>
    </row>
    <row r="886" ht="15.75" customHeight="1">
      <c r="H886" s="4"/>
    </row>
    <row r="887" ht="15.75" customHeight="1">
      <c r="H887" s="4"/>
    </row>
    <row r="888" ht="15.75" customHeight="1">
      <c r="H888" s="4"/>
    </row>
    <row r="889" ht="15.75" customHeight="1">
      <c r="H889" s="4"/>
    </row>
    <row r="890" ht="15.75" customHeight="1">
      <c r="H890" s="4"/>
    </row>
    <row r="891" ht="15.75" customHeight="1">
      <c r="H891" s="4"/>
    </row>
    <row r="892" ht="15.75" customHeight="1">
      <c r="H892" s="4"/>
    </row>
    <row r="893" ht="15.75" customHeight="1">
      <c r="H893" s="4"/>
    </row>
    <row r="894" ht="15.75" customHeight="1">
      <c r="H894" s="4"/>
    </row>
    <row r="895" ht="15.75" customHeight="1">
      <c r="H895" s="4"/>
    </row>
    <row r="896" ht="15.75" customHeight="1">
      <c r="H896" s="4"/>
    </row>
    <row r="897" ht="15.75" customHeight="1">
      <c r="H897" s="4"/>
    </row>
    <row r="898" ht="15.75" customHeight="1">
      <c r="H898" s="4"/>
    </row>
    <row r="899" ht="15.75" customHeight="1">
      <c r="H899" s="4"/>
    </row>
    <row r="900" ht="15.75" customHeight="1">
      <c r="H900" s="4"/>
    </row>
    <row r="901" ht="15.75" customHeight="1">
      <c r="H901" s="4"/>
    </row>
    <row r="902" ht="15.75" customHeight="1">
      <c r="H902" s="4"/>
    </row>
    <row r="903" ht="15.75" customHeight="1">
      <c r="H903" s="4"/>
    </row>
    <row r="904" ht="15.75" customHeight="1">
      <c r="H904" s="4"/>
    </row>
    <row r="905" ht="15.75" customHeight="1">
      <c r="H905" s="4"/>
    </row>
    <row r="906" ht="15.75" customHeight="1">
      <c r="H906" s="4"/>
    </row>
    <row r="907" ht="15.75" customHeight="1">
      <c r="H907" s="4"/>
    </row>
    <row r="908" ht="15.75" customHeight="1">
      <c r="H908" s="4"/>
    </row>
    <row r="909" ht="15.75" customHeight="1">
      <c r="H909" s="4"/>
    </row>
    <row r="910" ht="15.75" customHeight="1">
      <c r="H910" s="4"/>
    </row>
    <row r="911" ht="15.75" customHeight="1">
      <c r="H911" s="4"/>
    </row>
    <row r="912" ht="15.75" customHeight="1">
      <c r="H912" s="4"/>
    </row>
    <row r="913" ht="15.75" customHeight="1">
      <c r="H913" s="4"/>
    </row>
    <row r="914" ht="15.75" customHeight="1">
      <c r="H914" s="4"/>
    </row>
    <row r="915" ht="15.75" customHeight="1">
      <c r="H915" s="4"/>
    </row>
    <row r="916" ht="15.75" customHeight="1">
      <c r="H916" s="4"/>
    </row>
    <row r="917" ht="15.75" customHeight="1">
      <c r="H917" s="4"/>
    </row>
    <row r="918" ht="15.75" customHeight="1">
      <c r="H918" s="4"/>
    </row>
    <row r="919" ht="15.75" customHeight="1">
      <c r="H919" s="4"/>
    </row>
    <row r="920" ht="15.75" customHeight="1">
      <c r="H920" s="4"/>
    </row>
    <row r="921" ht="15.75" customHeight="1">
      <c r="H921" s="4"/>
    </row>
    <row r="922" ht="15.75" customHeight="1">
      <c r="H922" s="4"/>
    </row>
    <row r="923" ht="15.75" customHeight="1">
      <c r="H923" s="4"/>
    </row>
    <row r="924" ht="15.75" customHeight="1">
      <c r="H924" s="4"/>
    </row>
    <row r="925" ht="15.75" customHeight="1">
      <c r="H925" s="4"/>
    </row>
    <row r="926" ht="15.75" customHeight="1">
      <c r="H926" s="4"/>
    </row>
    <row r="927" ht="15.75" customHeight="1">
      <c r="H927" s="4"/>
    </row>
    <row r="928" ht="15.75" customHeight="1">
      <c r="H928" s="4"/>
    </row>
    <row r="929" ht="15.75" customHeight="1">
      <c r="H929" s="4"/>
    </row>
    <row r="930" ht="15.75" customHeight="1">
      <c r="H930" s="4"/>
    </row>
    <row r="931" ht="15.75" customHeight="1">
      <c r="H931" s="4"/>
    </row>
    <row r="932" ht="15.75" customHeight="1">
      <c r="H932" s="4"/>
    </row>
    <row r="933" ht="15.75" customHeight="1">
      <c r="H933" s="4"/>
    </row>
    <row r="934" ht="15.75" customHeight="1">
      <c r="H934" s="4"/>
    </row>
    <row r="935" ht="15.75" customHeight="1">
      <c r="H935" s="4"/>
    </row>
    <row r="936" ht="15.75" customHeight="1">
      <c r="H936" s="4"/>
    </row>
    <row r="937" ht="15.75" customHeight="1">
      <c r="H937" s="4"/>
    </row>
    <row r="938" ht="15.75" customHeight="1">
      <c r="H938" s="4"/>
    </row>
    <row r="939" ht="15.75" customHeight="1">
      <c r="H939" s="4"/>
    </row>
    <row r="940" ht="15.75" customHeight="1">
      <c r="H940" s="4"/>
    </row>
    <row r="941" ht="15.75" customHeight="1">
      <c r="H941" s="4"/>
    </row>
    <row r="942" ht="15.75" customHeight="1">
      <c r="H942" s="4"/>
    </row>
    <row r="943" ht="15.75" customHeight="1">
      <c r="H943" s="4"/>
    </row>
    <row r="944" ht="15.75" customHeight="1">
      <c r="H944" s="4"/>
    </row>
    <row r="945" ht="15.75" customHeight="1">
      <c r="H945" s="4"/>
    </row>
    <row r="946" ht="15.75" customHeight="1">
      <c r="H946" s="4"/>
    </row>
    <row r="947" ht="15.75" customHeight="1">
      <c r="H947" s="4"/>
    </row>
    <row r="948" ht="15.75" customHeight="1">
      <c r="H948" s="4"/>
    </row>
    <row r="949" ht="15.75" customHeight="1">
      <c r="H949" s="4"/>
    </row>
    <row r="950" ht="15.75" customHeight="1">
      <c r="H950" s="4"/>
    </row>
    <row r="951" ht="15.75" customHeight="1">
      <c r="H951" s="4"/>
    </row>
    <row r="952" ht="15.75" customHeight="1">
      <c r="H952" s="4"/>
    </row>
    <row r="953" ht="15.75" customHeight="1">
      <c r="H953" s="4"/>
    </row>
    <row r="954" ht="15.75" customHeight="1">
      <c r="H954" s="4"/>
    </row>
    <row r="955" ht="15.75" customHeight="1">
      <c r="H955" s="4"/>
    </row>
    <row r="956" ht="15.75" customHeight="1">
      <c r="H956" s="4"/>
    </row>
    <row r="957" ht="15.75" customHeight="1">
      <c r="H957" s="4"/>
    </row>
    <row r="958" ht="15.75" customHeight="1">
      <c r="H958" s="4"/>
    </row>
    <row r="959" ht="15.75" customHeight="1">
      <c r="H959" s="4"/>
    </row>
    <row r="960" ht="15.75" customHeight="1">
      <c r="H960" s="4"/>
    </row>
    <row r="961" ht="15.75" customHeight="1">
      <c r="H961" s="4"/>
    </row>
    <row r="962" ht="15.75" customHeight="1">
      <c r="H962" s="4"/>
    </row>
    <row r="963" ht="15.75" customHeight="1">
      <c r="H963" s="4"/>
    </row>
    <row r="964" ht="15.75" customHeight="1">
      <c r="H964" s="4"/>
    </row>
    <row r="965" ht="15.75" customHeight="1">
      <c r="H965" s="4"/>
    </row>
    <row r="966" ht="15.75" customHeight="1">
      <c r="H966" s="4"/>
    </row>
    <row r="967" ht="15.75" customHeight="1">
      <c r="H967" s="4"/>
    </row>
    <row r="968" ht="15.75" customHeight="1">
      <c r="H968" s="4"/>
    </row>
    <row r="969" ht="15.75" customHeight="1">
      <c r="H969" s="4"/>
    </row>
    <row r="970" ht="15.75" customHeight="1">
      <c r="H970" s="4"/>
    </row>
    <row r="971" ht="15.75" customHeight="1">
      <c r="H971" s="4"/>
    </row>
    <row r="972" ht="15.75" customHeight="1">
      <c r="H972" s="4"/>
    </row>
    <row r="973" ht="15.75" customHeight="1">
      <c r="H973" s="4"/>
    </row>
    <row r="974" ht="15.75" customHeight="1">
      <c r="H974" s="4"/>
    </row>
    <row r="975" ht="15.75" customHeight="1">
      <c r="H975" s="4"/>
    </row>
    <row r="976" ht="15.75" customHeight="1">
      <c r="H976" s="4"/>
    </row>
    <row r="977" ht="15.75" customHeight="1">
      <c r="H977" s="4"/>
    </row>
    <row r="978" ht="15.75" customHeight="1">
      <c r="H978" s="4"/>
    </row>
    <row r="979" ht="15.75" customHeight="1">
      <c r="H979" s="4"/>
    </row>
    <row r="980" ht="15.75" customHeight="1">
      <c r="H980" s="4"/>
    </row>
    <row r="981" ht="15.75" customHeight="1">
      <c r="H981" s="4"/>
    </row>
    <row r="982" ht="15.75" customHeight="1">
      <c r="H982" s="4"/>
    </row>
    <row r="983" ht="15.75" customHeight="1">
      <c r="H983" s="4"/>
    </row>
    <row r="984" ht="15.75" customHeight="1">
      <c r="H984" s="4"/>
    </row>
    <row r="985" ht="15.75" customHeight="1">
      <c r="H985" s="4"/>
    </row>
    <row r="986" ht="15.75" customHeight="1">
      <c r="H986" s="4"/>
    </row>
    <row r="987" ht="15.75" customHeight="1">
      <c r="H987" s="4"/>
    </row>
    <row r="988" ht="15.75" customHeight="1">
      <c r="H988" s="4"/>
    </row>
    <row r="989" ht="15.75" customHeight="1">
      <c r="H989" s="4"/>
    </row>
    <row r="990" ht="15.75" customHeight="1">
      <c r="H990" s="4"/>
    </row>
    <row r="991" ht="15.75" customHeight="1">
      <c r="H991" s="4"/>
    </row>
    <row r="992" ht="15.75" customHeight="1">
      <c r="H992" s="4"/>
    </row>
    <row r="993" ht="15.75" customHeight="1">
      <c r="H993" s="4"/>
    </row>
    <row r="994" ht="15.75" customHeight="1">
      <c r="H994" s="4"/>
    </row>
  </sheetData>
  <customSheetViews>
    <customSheetView guid="{0A30132F-8095-4BF8-9A15-AEB114B2BAB6}" filter="1" showAutoFilter="1">
      <autoFilter ref="$A$1:$J$33">
        <filterColumn colId="1">
          <customFilters>
            <customFilter val="*ABUJA*"/>
          </customFilters>
        </filterColumn>
      </autoFilter>
    </customSheetView>
    <customSheetView guid="{AB88CDB1-AE26-4B19-A1FF-6C78CE2D35A5}" filter="1" showAutoFilter="1">
      <autoFilter ref="$A$1:$J$33">
        <filterColumn colId="3">
          <customFilters>
            <customFilter val="*HARDWARE*"/>
          </customFilters>
        </filterColumn>
      </autoFilter>
    </customSheetView>
    <customSheetView guid="{51650320-9047-4791-8611-4BE4AFC6BA28}" filter="1" showAutoFilter="1">
      <autoFilter ref="$A$1:$J$33">
        <filterColumn colId="3">
          <customFilters>
            <customFilter val="*FURNITURE*"/>
          </customFilters>
        </filterColumn>
      </autoFilter>
    </customSheetView>
    <customSheetView guid="{5E68B521-D528-475B-82FC-DB374257F3D9}" filter="1" showAutoFilter="1">
      <autoFilter ref="$A$1:$J$33">
        <filterColumn colId="1">
          <customFilters>
            <customFilter val="*BENIN*"/>
          </customFilters>
        </filterColumn>
      </autoFilter>
    </customSheetView>
  </customSheetViews>
  <dataValidations>
    <dataValidation type="list" allowBlank="1" showErrorMessage="1" sqref="H2:H994">
      <formula1>"new and in good condition,fairly used in good condition,fairly used and in bad condition,faulty,damaged,old,need replacement"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23.25"/>
    <col customWidth="1" min="3" max="3" width="10.75"/>
    <col customWidth="1" min="4" max="4" width="15.13"/>
    <col customWidth="1" min="5" max="5" width="19.5"/>
    <col customWidth="1" min="6" max="6" width="14.5"/>
    <col customWidth="1" min="7" max="8" width="10.13"/>
    <col customWidth="1" min="9" max="9" width="4.5"/>
    <col customWidth="1" min="10" max="10" width="22.63"/>
    <col customWidth="1" min="11" max="13" width="11.38"/>
    <col customWidth="1" min="14" max="14" width="17.63"/>
    <col customWidth="1" min="15" max="15" width="11.38"/>
    <col customWidth="1" min="16" max="16" width="13.25"/>
  </cols>
  <sheetData>
    <row r="1" ht="12.0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24.0" customHeight="1">
      <c r="A2" s="48"/>
      <c r="B2" s="49" t="s">
        <v>393</v>
      </c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1.0" customHeight="1">
      <c r="A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0.5" customHeight="1">
      <c r="A4" s="48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8.0" customHeight="1">
      <c r="A5" s="51"/>
      <c r="B5" s="52" t="s">
        <v>394</v>
      </c>
      <c r="C5" s="53"/>
      <c r="D5" s="52" t="s">
        <v>395</v>
      </c>
      <c r="E5" s="53"/>
      <c r="F5" s="52" t="s">
        <v>396</v>
      </c>
      <c r="G5" s="54"/>
      <c r="H5" s="53"/>
      <c r="I5" s="55"/>
      <c r="J5" s="52" t="s">
        <v>397</v>
      </c>
      <c r="K5" s="53"/>
      <c r="L5" s="52" t="s">
        <v>398</v>
      </c>
      <c r="M5" s="53"/>
      <c r="N5" s="52" t="s">
        <v>399</v>
      </c>
      <c r="O5" s="54"/>
      <c r="P5" s="53"/>
      <c r="Q5" s="56"/>
      <c r="R5" s="48"/>
      <c r="S5" s="48"/>
      <c r="T5" s="48"/>
      <c r="U5" s="48"/>
      <c r="V5" s="48"/>
      <c r="W5" s="48"/>
      <c r="X5" s="48"/>
      <c r="Y5" s="48"/>
      <c r="Z5" s="48"/>
    </row>
    <row r="6" ht="28.5" customHeight="1">
      <c r="A6" s="51"/>
      <c r="B6" s="57">
        <f>Calc_Data!B1</f>
        <v>22</v>
      </c>
      <c r="C6" s="58"/>
      <c r="D6" s="57">
        <f>Calc_Data!B5</f>
        <v>116</v>
      </c>
      <c r="E6" s="58"/>
      <c r="F6" s="57">
        <f>B6+D6</f>
        <v>138</v>
      </c>
      <c r="G6" s="59"/>
      <c r="H6" s="58"/>
      <c r="I6" s="60"/>
      <c r="J6" s="57">
        <f>Calc_Data!B2</f>
        <v>52</v>
      </c>
      <c r="K6" s="58"/>
      <c r="L6" s="57">
        <f>Calc_Data!AE6</f>
        <v>20</v>
      </c>
      <c r="M6" s="58"/>
      <c r="N6" s="57">
        <f>Calc_Data!B3</f>
        <v>9</v>
      </c>
      <c r="O6" s="59"/>
      <c r="P6" s="58"/>
      <c r="Q6" s="56"/>
      <c r="R6" s="48"/>
      <c r="S6" s="48"/>
      <c r="T6" s="48"/>
      <c r="U6" s="48"/>
      <c r="V6" s="48"/>
      <c r="W6" s="48"/>
      <c r="X6" s="48"/>
      <c r="Y6" s="48"/>
      <c r="Z6" s="48"/>
    </row>
    <row r="7" ht="16.5" customHeight="1">
      <c r="A7" s="51"/>
      <c r="B7" s="61" t="s">
        <v>400</v>
      </c>
      <c r="C7" s="62"/>
      <c r="D7" s="61" t="s">
        <v>401</v>
      </c>
      <c r="E7" s="62"/>
      <c r="F7" s="61" t="s">
        <v>402</v>
      </c>
      <c r="G7" s="63"/>
      <c r="H7" s="62"/>
      <c r="I7" s="64"/>
      <c r="J7" s="61" t="s">
        <v>403</v>
      </c>
      <c r="K7" s="62"/>
      <c r="L7" s="61" t="s">
        <v>404</v>
      </c>
      <c r="M7" s="62"/>
      <c r="N7" s="61" t="s">
        <v>405</v>
      </c>
      <c r="O7" s="63"/>
      <c r="P7" s="62"/>
      <c r="Q7" s="56"/>
      <c r="R7" s="48"/>
      <c r="S7" s="48"/>
      <c r="T7" s="48"/>
      <c r="U7" s="48"/>
      <c r="V7" s="48"/>
      <c r="W7" s="48"/>
      <c r="X7" s="48"/>
      <c r="Y7" s="48"/>
      <c r="Z7" s="48"/>
    </row>
    <row r="8" ht="12.0" customHeight="1">
      <c r="A8" s="48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8.7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8.7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8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8.7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8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8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8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8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8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8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8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8.75" customHeight="1">
      <c r="A20" s="48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9.5" customHeight="1">
      <c r="A21" s="51"/>
      <c r="B21" s="66"/>
      <c r="C21" s="66"/>
      <c r="D21" s="66"/>
      <c r="E21" s="66"/>
      <c r="F21" s="66"/>
      <c r="G21" s="66"/>
      <c r="H21" s="66"/>
      <c r="I21" s="67"/>
      <c r="J21" s="66"/>
      <c r="K21" s="66"/>
      <c r="L21" s="66"/>
      <c r="M21" s="66"/>
      <c r="N21" s="66"/>
      <c r="O21" s="66"/>
      <c r="P21" s="66"/>
      <c r="R21" s="48"/>
      <c r="S21" s="48"/>
      <c r="T21" s="48"/>
      <c r="U21" s="48"/>
      <c r="V21" s="48"/>
      <c r="W21" s="48"/>
      <c r="X21" s="48"/>
      <c r="Y21" s="48"/>
      <c r="Z21" s="48"/>
    </row>
    <row r="22" ht="19.5" customHeight="1">
      <c r="A22" s="51"/>
      <c r="B22" s="68"/>
      <c r="C22" s="69"/>
      <c r="D22" s="69"/>
      <c r="E22" s="68"/>
      <c r="F22" s="68"/>
      <c r="G22" s="69"/>
      <c r="H22" s="69"/>
      <c r="I22" s="67"/>
      <c r="J22" s="68"/>
      <c r="K22" s="69"/>
      <c r="L22" s="69"/>
      <c r="M22" s="69"/>
      <c r="N22" s="68"/>
      <c r="O22" s="69"/>
      <c r="P22" s="69"/>
      <c r="R22" s="48"/>
      <c r="S22" s="48"/>
      <c r="T22" s="48"/>
      <c r="U22" s="48"/>
      <c r="V22" s="48"/>
      <c r="W22" s="48"/>
      <c r="X22" s="48"/>
      <c r="Y22" s="48"/>
      <c r="Z22" s="48"/>
    </row>
    <row r="23" ht="16.5" customHeight="1">
      <c r="A23" s="51"/>
      <c r="B23" s="70"/>
      <c r="C23" s="71"/>
      <c r="D23" s="71"/>
      <c r="E23" s="70"/>
      <c r="F23" s="70"/>
      <c r="G23" s="72"/>
      <c r="H23" s="72"/>
      <c r="I23" s="67"/>
      <c r="J23" s="70"/>
      <c r="K23" s="71"/>
      <c r="L23" s="71"/>
      <c r="M23" s="71"/>
      <c r="N23" s="70"/>
      <c r="O23" s="72"/>
      <c r="P23" s="72"/>
      <c r="R23" s="48"/>
      <c r="S23" s="48"/>
      <c r="T23" s="48"/>
      <c r="U23" s="48"/>
      <c r="V23" s="48"/>
      <c r="W23" s="48"/>
      <c r="X23" s="48"/>
      <c r="Y23" s="48"/>
      <c r="Z23" s="48"/>
    </row>
    <row r="24" ht="16.5" customHeight="1">
      <c r="A24" s="51"/>
      <c r="B24" s="70"/>
      <c r="C24" s="71"/>
      <c r="D24" s="71"/>
      <c r="E24" s="70"/>
      <c r="F24" s="70"/>
      <c r="G24" s="72"/>
      <c r="H24" s="72"/>
      <c r="I24" s="67"/>
      <c r="J24" s="70"/>
      <c r="K24" s="71"/>
      <c r="L24" s="71"/>
      <c r="M24" s="71"/>
      <c r="N24" s="70"/>
      <c r="O24" s="72"/>
      <c r="P24" s="72"/>
      <c r="R24" s="48"/>
      <c r="S24" s="48"/>
      <c r="T24" s="48"/>
      <c r="U24" s="48"/>
      <c r="V24" s="48"/>
      <c r="W24" s="48"/>
      <c r="X24" s="48"/>
      <c r="Y24" s="48"/>
      <c r="Z24" s="48"/>
    </row>
    <row r="25" ht="16.5" customHeight="1">
      <c r="A25" s="51"/>
      <c r="B25" s="70"/>
      <c r="C25" s="71"/>
      <c r="D25" s="71"/>
      <c r="E25" s="70"/>
      <c r="F25" s="70"/>
      <c r="G25" s="72"/>
      <c r="H25" s="72"/>
      <c r="I25" s="67"/>
      <c r="J25" s="73"/>
      <c r="K25" s="74"/>
      <c r="L25" s="74"/>
      <c r="M25" s="74"/>
      <c r="N25" s="73"/>
      <c r="O25" s="75"/>
      <c r="P25" s="75"/>
      <c r="R25" s="48"/>
      <c r="S25" s="48"/>
      <c r="T25" s="48"/>
      <c r="U25" s="48"/>
      <c r="V25" s="48"/>
      <c r="W25" s="48"/>
      <c r="X25" s="48"/>
      <c r="Y25" s="48"/>
      <c r="Z25" s="48"/>
    </row>
    <row r="26" ht="10.5" customHeight="1">
      <c r="A26" s="51"/>
      <c r="B26" s="70"/>
      <c r="C26" s="71"/>
      <c r="D26" s="71"/>
      <c r="E26" s="70"/>
      <c r="F26" s="70"/>
      <c r="G26" s="72"/>
      <c r="H26" s="72"/>
      <c r="I26" s="67"/>
      <c r="J26" s="67"/>
      <c r="K26" s="67"/>
      <c r="L26" s="67"/>
      <c r="M26" s="67"/>
      <c r="N26" s="67"/>
      <c r="O26" s="67"/>
      <c r="P26" s="67"/>
      <c r="R26" s="48"/>
      <c r="S26" s="48"/>
      <c r="T26" s="48"/>
      <c r="U26" s="48"/>
      <c r="V26" s="48"/>
      <c r="W26" s="48"/>
      <c r="X26" s="48"/>
      <c r="Y26" s="48"/>
      <c r="Z26" s="48"/>
    </row>
    <row r="27" ht="19.5" customHeight="1">
      <c r="A27" s="51"/>
      <c r="B27" s="70"/>
      <c r="C27" s="71"/>
      <c r="D27" s="71"/>
      <c r="E27" s="70"/>
      <c r="F27" s="70"/>
      <c r="G27" s="72"/>
      <c r="H27" s="72"/>
      <c r="I27" s="67"/>
      <c r="J27" s="66"/>
      <c r="K27" s="66"/>
      <c r="L27" s="66"/>
      <c r="M27" s="66"/>
      <c r="N27" s="66"/>
      <c r="O27" s="66"/>
      <c r="P27" s="66"/>
      <c r="R27" s="48"/>
      <c r="S27" s="48"/>
      <c r="T27" s="48"/>
      <c r="U27" s="48"/>
      <c r="V27" s="48"/>
      <c r="W27" s="48"/>
      <c r="X27" s="48"/>
      <c r="Y27" s="48"/>
      <c r="Z27" s="48"/>
    </row>
    <row r="28" ht="19.5" customHeight="1">
      <c r="A28" s="51"/>
      <c r="B28" s="76"/>
      <c r="C28" s="77"/>
      <c r="D28" s="77"/>
      <c r="E28" s="76"/>
      <c r="F28" s="76"/>
      <c r="G28" s="78"/>
      <c r="H28" s="78"/>
      <c r="I28" s="67"/>
      <c r="J28" s="68"/>
      <c r="K28" s="69"/>
      <c r="L28" s="69"/>
      <c r="M28" s="69"/>
      <c r="N28" s="68"/>
      <c r="O28" s="69"/>
      <c r="P28" s="69"/>
      <c r="R28" s="48"/>
      <c r="S28" s="48"/>
      <c r="T28" s="48"/>
      <c r="U28" s="48"/>
      <c r="V28" s="48"/>
      <c r="W28" s="48"/>
      <c r="X28" s="48"/>
      <c r="Y28" s="48"/>
      <c r="Z28" s="48"/>
    </row>
    <row r="29" ht="16.5" customHeight="1">
      <c r="A29" s="51"/>
      <c r="B29" s="76"/>
      <c r="C29" s="77"/>
      <c r="D29" s="77"/>
      <c r="E29" s="76"/>
      <c r="F29" s="76"/>
      <c r="G29" s="79"/>
      <c r="H29" s="78"/>
      <c r="I29" s="67"/>
      <c r="J29" s="70"/>
      <c r="K29" s="71"/>
      <c r="L29" s="71"/>
      <c r="M29" s="80"/>
      <c r="N29" s="70"/>
      <c r="O29" s="72"/>
      <c r="P29" s="81"/>
      <c r="R29" s="48"/>
      <c r="S29" s="48"/>
      <c r="T29" s="48"/>
      <c r="U29" s="48"/>
      <c r="V29" s="48"/>
      <c r="W29" s="48"/>
      <c r="X29" s="48"/>
      <c r="Y29" s="48"/>
      <c r="Z29" s="48"/>
    </row>
    <row r="30" ht="16.5" customHeight="1">
      <c r="A30" s="51"/>
      <c r="B30" s="73"/>
      <c r="C30" s="74"/>
      <c r="D30" s="74"/>
      <c r="E30" s="73"/>
      <c r="F30" s="73"/>
      <c r="G30" s="82"/>
      <c r="H30" s="75"/>
      <c r="I30" s="67"/>
      <c r="J30" s="70"/>
      <c r="K30" s="71"/>
      <c r="L30" s="71"/>
      <c r="M30" s="80"/>
      <c r="N30" s="70"/>
      <c r="O30" s="72"/>
      <c r="P30" s="81"/>
      <c r="R30" s="48"/>
      <c r="S30" s="48"/>
      <c r="T30" s="48"/>
      <c r="U30" s="48"/>
      <c r="V30" s="48"/>
      <c r="W30" s="48"/>
      <c r="X30" s="48"/>
      <c r="Y30" s="48"/>
      <c r="Z30" s="48"/>
    </row>
    <row r="31" ht="16.5" customHeight="1">
      <c r="A31" s="51"/>
      <c r="B31" s="67"/>
      <c r="C31" s="67"/>
      <c r="D31" s="67"/>
      <c r="E31" s="67"/>
      <c r="F31" s="67"/>
      <c r="G31" s="67"/>
      <c r="H31" s="67"/>
      <c r="I31" s="67"/>
      <c r="J31" s="73"/>
      <c r="K31" s="74"/>
      <c r="L31" s="74"/>
      <c r="M31" s="74"/>
      <c r="N31" s="73"/>
      <c r="O31" s="75"/>
      <c r="P31" s="83"/>
      <c r="R31" s="48"/>
      <c r="S31" s="48"/>
      <c r="T31" s="48"/>
      <c r="U31" s="48"/>
      <c r="V31" s="48"/>
      <c r="W31" s="48"/>
      <c r="X31" s="48"/>
      <c r="Y31" s="48"/>
      <c r="Z31" s="48"/>
    </row>
    <row r="32" ht="15.0" customHeight="1">
      <c r="A32" s="51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R32" s="48"/>
      <c r="S32" s="48"/>
      <c r="T32" s="48"/>
      <c r="U32" s="48"/>
      <c r="V32" s="48"/>
      <c r="W32" s="48"/>
      <c r="X32" s="48"/>
      <c r="Y32" s="48"/>
      <c r="Z32" s="48"/>
    </row>
    <row r="33" ht="15.75" customHeight="1">
      <c r="A33" s="51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R33" s="48"/>
      <c r="S33" s="48"/>
      <c r="T33" s="48"/>
      <c r="U33" s="48"/>
      <c r="V33" s="48"/>
      <c r="W33" s="48"/>
      <c r="X33" s="48"/>
      <c r="Y33" s="48"/>
      <c r="Z33" s="48"/>
    </row>
    <row r="34" ht="15.75" customHeight="1">
      <c r="A34" s="51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R34" s="48"/>
      <c r="S34" s="48"/>
      <c r="T34" s="48"/>
      <c r="U34" s="48"/>
      <c r="V34" s="48"/>
      <c r="W34" s="48"/>
      <c r="X34" s="48"/>
      <c r="Y34" s="48"/>
      <c r="Z34" s="48"/>
    </row>
    <row r="35" ht="15.75" customHeight="1">
      <c r="A35" s="51"/>
      <c r="B35" s="84" t="s">
        <v>406</v>
      </c>
      <c r="C35" s="85"/>
      <c r="D35" s="85"/>
      <c r="E35" s="85"/>
      <c r="F35" s="85"/>
      <c r="G35" s="85"/>
      <c r="H35" s="86"/>
      <c r="I35" s="87"/>
      <c r="J35" s="84" t="s">
        <v>407</v>
      </c>
      <c r="K35" s="85"/>
      <c r="L35" s="85"/>
      <c r="M35" s="85"/>
      <c r="N35" s="85"/>
      <c r="O35" s="85"/>
      <c r="P35" s="86"/>
      <c r="R35" s="48"/>
      <c r="S35" s="48"/>
      <c r="T35" s="48"/>
      <c r="U35" s="48"/>
      <c r="V35" s="48"/>
      <c r="W35" s="48"/>
      <c r="X35" s="48"/>
      <c r="Y35" s="48"/>
      <c r="Z35" s="48"/>
    </row>
    <row r="36" ht="15.75" customHeight="1">
      <c r="A36" s="51"/>
      <c r="B36" s="88" t="s">
        <v>408</v>
      </c>
      <c r="C36" s="89" t="s">
        <v>409</v>
      </c>
      <c r="D36" s="89" t="s">
        <v>410</v>
      </c>
      <c r="E36" s="89" t="s">
        <v>411</v>
      </c>
      <c r="F36" s="89" t="s">
        <v>412</v>
      </c>
      <c r="G36" s="89" t="s">
        <v>413</v>
      </c>
      <c r="H36" s="90" t="s">
        <v>414</v>
      </c>
      <c r="I36" s="87"/>
      <c r="J36" s="88" t="s">
        <v>415</v>
      </c>
      <c r="K36" s="89" t="s">
        <v>416</v>
      </c>
      <c r="L36" s="89" t="s">
        <v>417</v>
      </c>
      <c r="M36" s="89" t="s">
        <v>418</v>
      </c>
      <c r="N36" s="89" t="s">
        <v>419</v>
      </c>
      <c r="O36" s="89" t="s">
        <v>420</v>
      </c>
      <c r="P36" s="90" t="s">
        <v>414</v>
      </c>
      <c r="R36" s="48"/>
      <c r="S36" s="48"/>
      <c r="T36" s="48"/>
      <c r="U36" s="48"/>
      <c r="V36" s="48"/>
      <c r="W36" s="48"/>
      <c r="X36" s="48"/>
      <c r="Y36" s="48"/>
      <c r="Z36" s="48"/>
    </row>
    <row r="37" ht="15.75" customHeight="1">
      <c r="A37" s="51"/>
      <c r="B37" s="91" t="str">
        <f>HYPERLINK("#gid=2143034089&amp;fvid=664388205", "Marketing and Sales")</f>
        <v>Marketing and Sales</v>
      </c>
      <c r="C37" s="92">
        <v>6.0</v>
      </c>
      <c r="D37" s="92">
        <v>6.0</v>
      </c>
      <c r="E37" s="93" t="s">
        <v>74</v>
      </c>
      <c r="F37" s="93" t="s">
        <v>417</v>
      </c>
      <c r="G37" s="94">
        <f t="shared" ref="G37:G43" si="1">C37/$C$43</f>
        <v>0.3</v>
      </c>
      <c r="H37" s="95">
        <f t="shared" ref="H37:H45" si="2">C37/$C$45</f>
        <v>0.04411764706</v>
      </c>
      <c r="I37" s="87"/>
      <c r="J37" s="91" t="str">
        <f>HYPERLINK("#gid=258663244&amp;fvid=1838503704", "Furniture &amp; Desks")</f>
        <v>Furniture &amp; Desks</v>
      </c>
      <c r="K37" s="92">
        <f t="shared" ref="K37:K38" si="3">L37+M37</f>
        <v>63</v>
      </c>
      <c r="L37" s="92">
        <f>SUMIFS('Office&amp;Facilities'!$F$2:$F$50, 'Office&amp;Facilities'!$B$2:$B$50, "ABUJA", 'Office&amp;Facilities'!$D$2:$D$50, "FURNITURE")</f>
        <v>55</v>
      </c>
      <c r="M37" s="92">
        <f>SUMIFS('Office&amp;Facilities'!$F$2:$F$50, 'Office&amp;Facilities'!$B$2:$B$50, "BENIN", 'Office&amp;Facilities'!$D$2:$D$50, "FURNITURE")</f>
        <v>8</v>
      </c>
      <c r="N37" s="93" t="s">
        <v>421</v>
      </c>
      <c r="O37" s="94">
        <f t="shared" ref="O37:O39" si="4">K37/$K$39</f>
        <v>0.5431034483</v>
      </c>
      <c r="P37" s="95">
        <f t="shared" ref="P37:P40" si="5">K37/$C$45</f>
        <v>0.4632352941</v>
      </c>
      <c r="R37" s="48"/>
      <c r="S37" s="48"/>
      <c r="T37" s="48"/>
      <c r="U37" s="48"/>
      <c r="V37" s="48"/>
      <c r="W37" s="48"/>
      <c r="X37" s="48"/>
      <c r="Y37" s="48"/>
      <c r="Z37" s="48"/>
    </row>
    <row r="38" ht="15.75" customHeight="1">
      <c r="A38" s="51"/>
      <c r="B38" s="96" t="str">
        <f>HYPERLINK("#gid=2143034089&amp;fvid=359634", "Applications &amp; Counseling")</f>
        <v>Applications &amp; Counseling</v>
      </c>
      <c r="C38" s="97">
        <v>9.0</v>
      </c>
      <c r="D38" s="97">
        <v>8.0</v>
      </c>
      <c r="E38" s="98" t="s">
        <v>422</v>
      </c>
      <c r="F38" s="98" t="s">
        <v>423</v>
      </c>
      <c r="G38" s="99">
        <f t="shared" si="1"/>
        <v>0.45</v>
      </c>
      <c r="H38" s="100">
        <f t="shared" si="2"/>
        <v>0.06617647059</v>
      </c>
      <c r="I38" s="87"/>
      <c r="J38" s="96" t="str">
        <f>HYPERLINK("#gid=258663244&amp;fvid=1631427491", "Office Electronics &amp; Equipment")</f>
        <v>Office Electronics &amp; Equipment</v>
      </c>
      <c r="K38" s="97">
        <f t="shared" si="3"/>
        <v>53</v>
      </c>
      <c r="L38" s="97">
        <f>SUMIFS('Office&amp;Facilities'!$F$2:$F$50, 'Office&amp;Facilities'!$B$2:$B$50, "ABUJA", 'Office&amp;Facilities'!$D$2:$D$50, "HARDWARE")</f>
        <v>49</v>
      </c>
      <c r="M38" s="97">
        <f>SUMIFS('Office&amp;Facilities'!$F$2:$F$50, 'Office&amp;Facilities'!$B$2:$B$50, "BENIN", 'Office&amp;Facilities'!$D$2:$D$50, "HARDWARE")</f>
        <v>4</v>
      </c>
      <c r="N38" s="98" t="s">
        <v>421</v>
      </c>
      <c r="O38" s="99">
        <f t="shared" si="4"/>
        <v>0.4568965517</v>
      </c>
      <c r="P38" s="100">
        <f t="shared" si="5"/>
        <v>0.3897058824</v>
      </c>
      <c r="R38" s="48"/>
      <c r="S38" s="48"/>
      <c r="T38" s="48"/>
      <c r="U38" s="48"/>
      <c r="V38" s="48"/>
      <c r="W38" s="48"/>
      <c r="X38" s="48"/>
      <c r="Y38" s="48"/>
      <c r="Z38" s="48"/>
    </row>
    <row r="39" ht="15.75" customHeight="1">
      <c r="A39" s="51"/>
      <c r="B39" s="91" t="str">
        <f>HYPERLINK("#gid=2143034089&amp;fvid=2088306131", "Conversion")</f>
        <v>Conversion</v>
      </c>
      <c r="C39" s="92">
        <v>2.0</v>
      </c>
      <c r="D39" s="92">
        <v>2.0</v>
      </c>
      <c r="E39" s="93" t="s">
        <v>424</v>
      </c>
      <c r="F39" s="93" t="s">
        <v>423</v>
      </c>
      <c r="G39" s="94">
        <f t="shared" si="1"/>
        <v>0.1</v>
      </c>
      <c r="H39" s="95">
        <f t="shared" si="2"/>
        <v>0.01470588235</v>
      </c>
      <c r="I39" s="87"/>
      <c r="J39" s="101" t="s">
        <v>425</v>
      </c>
      <c r="K39" s="102">
        <f t="shared" ref="K39:M39" si="6">SUM(K37:K38)</f>
        <v>116</v>
      </c>
      <c r="L39" s="102">
        <f t="shared" si="6"/>
        <v>104</v>
      </c>
      <c r="M39" s="102">
        <f t="shared" si="6"/>
        <v>12</v>
      </c>
      <c r="N39" s="103" t="s">
        <v>426</v>
      </c>
      <c r="O39" s="104">
        <f t="shared" si="4"/>
        <v>1</v>
      </c>
      <c r="P39" s="105">
        <f t="shared" si="5"/>
        <v>0.8529411765</v>
      </c>
      <c r="R39" s="48"/>
      <c r="S39" s="48"/>
      <c r="T39" s="48"/>
      <c r="U39" s="48"/>
      <c r="V39" s="48"/>
      <c r="W39" s="48"/>
      <c r="X39" s="48"/>
      <c r="Y39" s="48"/>
      <c r="Z39" s="48"/>
    </row>
    <row r="40" ht="15.75" customHeight="1">
      <c r="A40" s="51"/>
      <c r="B40" s="96" t="str">
        <f>HYPERLINK("#gid=2143034089&amp;fvid=735522987", "Marketing / Applications (Joint)")</f>
        <v>Marketing / Applications (Joint)</v>
      </c>
      <c r="C40" s="97">
        <v>1.0</v>
      </c>
      <c r="D40" s="97">
        <v>1.0</v>
      </c>
      <c r="E40" s="98" t="s">
        <v>119</v>
      </c>
      <c r="F40" s="98" t="s">
        <v>427</v>
      </c>
      <c r="G40" s="99">
        <f t="shared" si="1"/>
        <v>0.05</v>
      </c>
      <c r="H40" s="100">
        <f t="shared" si="2"/>
        <v>0.007352941176</v>
      </c>
      <c r="I40" s="87"/>
      <c r="J40" s="106" t="s">
        <v>428</v>
      </c>
      <c r="K40" s="92">
        <f t="shared" ref="K40:M40" si="7">K39</f>
        <v>116</v>
      </c>
      <c r="L40" s="92">
        <f t="shared" si="7"/>
        <v>104</v>
      </c>
      <c r="M40" s="92">
        <f t="shared" si="7"/>
        <v>12</v>
      </c>
      <c r="N40" s="93" t="s">
        <v>429</v>
      </c>
      <c r="O40" s="107">
        <v>1.0</v>
      </c>
      <c r="P40" s="95">
        <f t="shared" si="5"/>
        <v>0.8529411765</v>
      </c>
      <c r="R40" s="48"/>
      <c r="S40" s="48"/>
      <c r="T40" s="48"/>
      <c r="U40" s="48"/>
      <c r="V40" s="48"/>
      <c r="W40" s="48"/>
      <c r="X40" s="48"/>
      <c r="Y40" s="48"/>
      <c r="Z40" s="48"/>
    </row>
    <row r="41" ht="15.75" customHeight="1">
      <c r="A41" s="51"/>
      <c r="B41" s="91" t="str">
        <f>HYPERLINK("#gid=2143034089&amp;fvid=651994796", "IT &amp; Infrastructure Systems")</f>
        <v>IT &amp; Infrastructure Systems</v>
      </c>
      <c r="C41" s="92">
        <v>1.0</v>
      </c>
      <c r="D41" s="92">
        <v>1.0</v>
      </c>
      <c r="E41" s="93" t="s">
        <v>124</v>
      </c>
      <c r="F41" s="93" t="s">
        <v>417</v>
      </c>
      <c r="G41" s="94">
        <f t="shared" si="1"/>
        <v>0.05</v>
      </c>
      <c r="H41" s="95">
        <f t="shared" si="2"/>
        <v>0.007352941176</v>
      </c>
      <c r="I41" s="87"/>
      <c r="J41" s="108" t="s">
        <v>430</v>
      </c>
      <c r="K41" s="97">
        <f t="shared" ref="K41:M41" si="8">K39</f>
        <v>116</v>
      </c>
      <c r="L41" s="97">
        <f t="shared" si="8"/>
        <v>104</v>
      </c>
      <c r="M41" s="97">
        <f t="shared" si="8"/>
        <v>12</v>
      </c>
      <c r="N41" s="98" t="s">
        <v>431</v>
      </c>
      <c r="O41" s="109" t="s">
        <v>432</v>
      </c>
      <c r="P41" s="110" t="s">
        <v>433</v>
      </c>
      <c r="R41" s="48"/>
      <c r="S41" s="48"/>
      <c r="T41" s="48"/>
      <c r="U41" s="48"/>
      <c r="V41" s="48"/>
      <c r="W41" s="48"/>
      <c r="X41" s="48"/>
      <c r="Y41" s="48"/>
      <c r="Z41" s="48"/>
    </row>
    <row r="42" ht="15.75" customHeight="1">
      <c r="A42" s="51"/>
      <c r="B42" s="111" t="str">
        <f>HYPERLINK("#gid=2143034089&amp;fvid=1716115278", "Management")</f>
        <v>Management</v>
      </c>
      <c r="C42" s="112">
        <v>1.0</v>
      </c>
      <c r="D42" s="112">
        <v>1.0</v>
      </c>
      <c r="E42" s="113" t="s">
        <v>283</v>
      </c>
      <c r="F42" s="113" t="s">
        <v>417</v>
      </c>
      <c r="G42" s="114">
        <f t="shared" si="1"/>
        <v>0.05</v>
      </c>
      <c r="H42" s="114">
        <f t="shared" si="2"/>
        <v>0.007352941176</v>
      </c>
      <c r="I42" s="87"/>
      <c r="J42" s="106" t="s">
        <v>434</v>
      </c>
      <c r="K42" s="92">
        <f t="shared" ref="K42:M42" si="9">K39</f>
        <v>116</v>
      </c>
      <c r="L42" s="92">
        <f t="shared" si="9"/>
        <v>104</v>
      </c>
      <c r="M42" s="92">
        <f t="shared" si="9"/>
        <v>12</v>
      </c>
      <c r="N42" s="93" t="s">
        <v>435</v>
      </c>
      <c r="O42" s="107" t="s">
        <v>432</v>
      </c>
      <c r="P42" s="115" t="s">
        <v>436</v>
      </c>
      <c r="R42" s="48"/>
      <c r="S42" s="48"/>
      <c r="T42" s="48"/>
      <c r="U42" s="48"/>
      <c r="V42" s="48"/>
      <c r="W42" s="48"/>
      <c r="X42" s="48"/>
      <c r="Y42" s="48"/>
      <c r="Z42" s="48"/>
    </row>
    <row r="43" ht="15.75" customHeight="1">
      <c r="A43" s="51"/>
      <c r="B43" s="116" t="s">
        <v>437</v>
      </c>
      <c r="C43" s="117">
        <f t="shared" ref="C43:D43" si="10">SUM(C37:C42)</f>
        <v>20</v>
      </c>
      <c r="D43" s="117">
        <f t="shared" si="10"/>
        <v>19</v>
      </c>
      <c r="E43" s="116" t="s">
        <v>438</v>
      </c>
      <c r="F43" s="116" t="s">
        <v>423</v>
      </c>
      <c r="G43" s="118">
        <f t="shared" si="1"/>
        <v>1</v>
      </c>
      <c r="H43" s="119">
        <f t="shared" si="2"/>
        <v>0.1470588235</v>
      </c>
      <c r="I43" s="87"/>
      <c r="J43" s="108" t="s">
        <v>439</v>
      </c>
      <c r="K43" s="97">
        <v>2.0</v>
      </c>
      <c r="L43" s="97">
        <v>1.0</v>
      </c>
      <c r="M43" s="97">
        <v>1.0</v>
      </c>
      <c r="N43" s="98" t="s">
        <v>440</v>
      </c>
      <c r="O43" s="109" t="s">
        <v>432</v>
      </c>
      <c r="P43" s="110" t="s">
        <v>441</v>
      </c>
      <c r="R43" s="48"/>
      <c r="S43" s="48"/>
      <c r="T43" s="48"/>
      <c r="U43" s="48"/>
      <c r="V43" s="48"/>
      <c r="W43" s="48"/>
      <c r="X43" s="48"/>
      <c r="Y43" s="48"/>
      <c r="Z43" s="48"/>
    </row>
    <row r="44" ht="15.75" customHeight="1">
      <c r="A44" s="51"/>
      <c r="B44" s="120" t="s">
        <v>442</v>
      </c>
      <c r="C44" s="121">
        <f>Calc_Data!B5</f>
        <v>116</v>
      </c>
      <c r="D44" s="121">
        <f>Calc_Data!B5</f>
        <v>116</v>
      </c>
      <c r="E44" s="120" t="s">
        <v>443</v>
      </c>
      <c r="F44" s="120" t="s">
        <v>444</v>
      </c>
      <c r="G44" s="122" t="s">
        <v>432</v>
      </c>
      <c r="H44" s="123">
        <f t="shared" si="2"/>
        <v>0.8529411765</v>
      </c>
      <c r="I44" s="87"/>
      <c r="J44" s="124" t="s">
        <v>445</v>
      </c>
      <c r="K44" s="125">
        <f t="shared" ref="K44:M44" si="11">K39</f>
        <v>116</v>
      </c>
      <c r="L44" s="125">
        <f t="shared" si="11"/>
        <v>104</v>
      </c>
      <c r="M44" s="125">
        <f t="shared" si="11"/>
        <v>12</v>
      </c>
      <c r="N44" s="126" t="s">
        <v>446</v>
      </c>
      <c r="O44" s="127">
        <v>1.0</v>
      </c>
      <c r="P44" s="128">
        <f>K44/$C$45</f>
        <v>0.8529411765</v>
      </c>
      <c r="R44" s="48"/>
      <c r="S44" s="48"/>
      <c r="T44" s="48"/>
      <c r="U44" s="48"/>
      <c r="V44" s="48"/>
      <c r="W44" s="48"/>
      <c r="X44" s="48"/>
      <c r="Y44" s="48"/>
      <c r="Z44" s="48"/>
    </row>
    <row r="45" ht="15.75" customHeight="1">
      <c r="A45" s="48"/>
      <c r="B45" s="129" t="s">
        <v>447</v>
      </c>
      <c r="C45" s="130">
        <f t="shared" ref="C45:D45" si="12">C43+C44</f>
        <v>136</v>
      </c>
      <c r="D45" s="130">
        <f t="shared" si="12"/>
        <v>135</v>
      </c>
      <c r="E45" s="129" t="s">
        <v>448</v>
      </c>
      <c r="F45" s="129" t="s">
        <v>449</v>
      </c>
      <c r="G45" s="129" t="s">
        <v>432</v>
      </c>
      <c r="H45" s="131">
        <f t="shared" si="2"/>
        <v>1</v>
      </c>
      <c r="I45" s="87"/>
      <c r="J45" s="87"/>
      <c r="K45" s="87"/>
      <c r="L45" s="87"/>
      <c r="M45" s="87"/>
      <c r="N45" s="87"/>
      <c r="O45" s="87"/>
      <c r="P45" s="87"/>
      <c r="R45" s="48"/>
      <c r="S45" s="48"/>
      <c r="T45" s="48"/>
      <c r="U45" s="48"/>
      <c r="V45" s="48"/>
      <c r="W45" s="48"/>
      <c r="X45" s="48"/>
      <c r="Y45" s="48"/>
      <c r="Z45" s="48"/>
    </row>
    <row r="46" ht="15.75" customHeight="1">
      <c r="A46" s="51"/>
      <c r="B46" s="84" t="s">
        <v>450</v>
      </c>
      <c r="C46" s="85"/>
      <c r="D46" s="85"/>
      <c r="E46" s="85"/>
      <c r="F46" s="85"/>
      <c r="G46" s="85"/>
      <c r="H46" s="86"/>
      <c r="I46" s="87"/>
      <c r="J46" s="84" t="s">
        <v>451</v>
      </c>
      <c r="K46" s="85"/>
      <c r="L46" s="85"/>
      <c r="M46" s="85"/>
      <c r="N46" s="85"/>
      <c r="O46" s="85"/>
      <c r="P46" s="86"/>
      <c r="R46" s="48"/>
      <c r="S46" s="48"/>
      <c r="T46" s="48"/>
      <c r="U46" s="48"/>
      <c r="V46" s="48"/>
      <c r="W46" s="48"/>
      <c r="X46" s="48"/>
      <c r="Y46" s="48"/>
      <c r="Z46" s="48"/>
    </row>
    <row r="47" ht="15.75" customHeight="1">
      <c r="A47" s="51"/>
      <c r="B47" s="88" t="s">
        <v>452</v>
      </c>
      <c r="C47" s="89" t="s">
        <v>269</v>
      </c>
      <c r="D47" s="89" t="s">
        <v>453</v>
      </c>
      <c r="E47" s="89" t="s">
        <v>454</v>
      </c>
      <c r="F47" s="89" t="s">
        <v>455</v>
      </c>
      <c r="G47" s="89" t="s">
        <v>456</v>
      </c>
      <c r="H47" s="90" t="s">
        <v>457</v>
      </c>
      <c r="I47" s="87"/>
      <c r="J47" s="88" t="s">
        <v>412</v>
      </c>
      <c r="K47" s="89" t="s">
        <v>458</v>
      </c>
      <c r="L47" s="89" t="s">
        <v>459</v>
      </c>
      <c r="M47" s="89" t="s">
        <v>460</v>
      </c>
      <c r="N47" s="89" t="s">
        <v>461</v>
      </c>
      <c r="O47" s="89" t="s">
        <v>414</v>
      </c>
      <c r="P47" s="90" t="s">
        <v>462</v>
      </c>
      <c r="R47" s="48"/>
      <c r="S47" s="48"/>
      <c r="T47" s="48"/>
      <c r="U47" s="48"/>
      <c r="V47" s="48"/>
      <c r="W47" s="48"/>
      <c r="X47" s="48"/>
      <c r="Y47" s="48"/>
      <c r="Z47" s="48"/>
    </row>
    <row r="48" ht="15.75" customHeight="1">
      <c r="A48" s="51"/>
      <c r="B48" s="106" t="s">
        <v>463</v>
      </c>
      <c r="C48" s="132">
        <f>Calc_Data!AE2</f>
        <v>8</v>
      </c>
      <c r="D48" s="93" t="s">
        <v>464</v>
      </c>
      <c r="E48" s="93" t="s">
        <v>465</v>
      </c>
      <c r="F48" s="93" t="s">
        <v>466</v>
      </c>
      <c r="G48" s="94">
        <f t="shared" ref="G48:G51" si="13">C48/$C$53</f>
        <v>0.4</v>
      </c>
      <c r="H48" s="133" t="s">
        <v>467</v>
      </c>
      <c r="I48" s="87"/>
      <c r="J48" s="91" t="str">
        <f>HYPERLINK("#gid=258663244&amp;fvid=1575364930", "Abuja Head Office")</f>
        <v>Abuja Head Office</v>
      </c>
      <c r="K48" s="92">
        <f>Calc_Data!AK2</f>
        <v>104</v>
      </c>
      <c r="L48" s="92">
        <f>Calc_Data!AJ2</f>
        <v>17</v>
      </c>
      <c r="M48" s="132">
        <f t="shared" ref="M48:M49" si="14">K48+L48</f>
        <v>121</v>
      </c>
      <c r="N48" s="93" t="s">
        <v>468</v>
      </c>
      <c r="O48" s="94">
        <f t="shared" ref="O48:O50" si="15">M48/$M$50</f>
        <v>0.8897058824</v>
      </c>
      <c r="P48" s="133" t="s">
        <v>469</v>
      </c>
      <c r="R48" s="48"/>
      <c r="S48" s="48"/>
      <c r="T48" s="48"/>
      <c r="U48" s="48"/>
      <c r="V48" s="48"/>
      <c r="W48" s="48"/>
      <c r="X48" s="48"/>
      <c r="Y48" s="48"/>
      <c r="Z48" s="48"/>
    </row>
    <row r="49" ht="15.75" customHeight="1">
      <c r="A49" s="51"/>
      <c r="B49" s="108" t="s">
        <v>470</v>
      </c>
      <c r="C49" s="134">
        <f>Calc_Data!AE3</f>
        <v>7</v>
      </c>
      <c r="D49" s="98" t="s">
        <v>471</v>
      </c>
      <c r="E49" s="98" t="s">
        <v>472</v>
      </c>
      <c r="F49" s="98" t="s">
        <v>473</v>
      </c>
      <c r="G49" s="99">
        <f t="shared" si="13"/>
        <v>0.35</v>
      </c>
      <c r="H49" s="135" t="s">
        <v>467</v>
      </c>
      <c r="I49" s="87"/>
      <c r="J49" s="96" t="str">
        <f>HYPERLINK("#gid=258663244&amp;fvid=1878225735", "Benin City Branch")</f>
        <v>Benin City Branch</v>
      </c>
      <c r="K49" s="97">
        <f>Calc_Data!AK3</f>
        <v>12</v>
      </c>
      <c r="L49" s="97">
        <f>Calc_Data!AJ3</f>
        <v>3</v>
      </c>
      <c r="M49" s="134">
        <f t="shared" si="14"/>
        <v>15</v>
      </c>
      <c r="N49" s="98" t="s">
        <v>474</v>
      </c>
      <c r="O49" s="99">
        <f t="shared" si="15"/>
        <v>0.1102941176</v>
      </c>
      <c r="P49" s="135" t="s">
        <v>475</v>
      </c>
      <c r="R49" s="48"/>
      <c r="S49" s="48"/>
      <c r="T49" s="48"/>
      <c r="U49" s="48"/>
      <c r="V49" s="48"/>
      <c r="W49" s="48"/>
      <c r="X49" s="48"/>
      <c r="Y49" s="48"/>
      <c r="Z49" s="48"/>
    </row>
    <row r="50" ht="15.75" customHeight="1">
      <c r="A50" s="51"/>
      <c r="B50" s="106" t="s">
        <v>476</v>
      </c>
      <c r="C50" s="132">
        <f>Calc_Data!AE4</f>
        <v>3</v>
      </c>
      <c r="D50" s="93" t="s">
        <v>477</v>
      </c>
      <c r="E50" s="93" t="s">
        <v>478</v>
      </c>
      <c r="F50" s="93" t="s">
        <v>479</v>
      </c>
      <c r="G50" s="94">
        <f t="shared" si="13"/>
        <v>0.15</v>
      </c>
      <c r="H50" s="133" t="s">
        <v>480</v>
      </c>
      <c r="I50" s="87"/>
      <c r="J50" s="101" t="s">
        <v>481</v>
      </c>
      <c r="K50" s="102">
        <f t="shared" ref="K50:M50" si="16">SUM(K48:K49)</f>
        <v>116</v>
      </c>
      <c r="L50" s="102">
        <f t="shared" si="16"/>
        <v>20</v>
      </c>
      <c r="M50" s="102">
        <f t="shared" si="16"/>
        <v>136</v>
      </c>
      <c r="N50" s="103" t="s">
        <v>482</v>
      </c>
      <c r="O50" s="104">
        <f t="shared" si="15"/>
        <v>1</v>
      </c>
      <c r="P50" s="136" t="s">
        <v>483</v>
      </c>
      <c r="R50" s="48"/>
      <c r="S50" s="48"/>
      <c r="T50" s="48"/>
      <c r="U50" s="48"/>
      <c r="V50" s="48"/>
      <c r="W50" s="48"/>
      <c r="X50" s="48"/>
      <c r="Y50" s="48"/>
      <c r="Z50" s="48"/>
    </row>
    <row r="51" ht="15.75" customHeight="1">
      <c r="A51" s="51"/>
      <c r="B51" s="108" t="s">
        <v>484</v>
      </c>
      <c r="C51" s="134">
        <f>Calc_Data!AE5</f>
        <v>2</v>
      </c>
      <c r="D51" s="98" t="s">
        <v>485</v>
      </c>
      <c r="E51" s="98" t="s">
        <v>486</v>
      </c>
      <c r="F51" s="98" t="s">
        <v>57</v>
      </c>
      <c r="G51" s="99">
        <f t="shared" si="13"/>
        <v>0.1</v>
      </c>
      <c r="H51" s="135" t="s">
        <v>487</v>
      </c>
      <c r="I51" s="137"/>
      <c r="J51" s="138" t="s">
        <v>488</v>
      </c>
      <c r="K51" s="139">
        <f>Calc_Data!AJ5</f>
        <v>22</v>
      </c>
      <c r="L51" s="139">
        <f>Calc_Data!AJ2</f>
        <v>17</v>
      </c>
      <c r="M51" s="139">
        <f>Calc_Data!AJ3</f>
        <v>3</v>
      </c>
      <c r="N51" s="140" t="s">
        <v>489</v>
      </c>
      <c r="O51" s="141">
        <v>1.0</v>
      </c>
      <c r="P51" s="142" t="s">
        <v>490</v>
      </c>
      <c r="Q51" s="56"/>
      <c r="R51" s="48"/>
      <c r="S51" s="48"/>
      <c r="T51" s="48"/>
      <c r="U51" s="48"/>
      <c r="V51" s="48"/>
      <c r="W51" s="48"/>
      <c r="X51" s="48"/>
      <c r="Y51" s="48"/>
      <c r="Z51" s="48"/>
    </row>
    <row r="52" ht="15.75" customHeight="1">
      <c r="A52" s="51"/>
      <c r="B52" s="138" t="s">
        <v>491</v>
      </c>
      <c r="C52" s="139">
        <v>4.0</v>
      </c>
      <c r="D52" s="140" t="s">
        <v>492</v>
      </c>
      <c r="E52" s="140" t="s">
        <v>493</v>
      </c>
      <c r="F52" s="140" t="s">
        <v>494</v>
      </c>
      <c r="G52" s="141" t="s">
        <v>432</v>
      </c>
      <c r="H52" s="142" t="s">
        <v>495</v>
      </c>
      <c r="I52" s="137"/>
      <c r="J52" s="108" t="s">
        <v>496</v>
      </c>
      <c r="K52" s="97">
        <f>Calc_Data!AK5</f>
        <v>116</v>
      </c>
      <c r="L52" s="97">
        <f>Calc_Data!AK2</f>
        <v>104</v>
      </c>
      <c r="M52" s="97">
        <f>Calc_Data!AK3</f>
        <v>12</v>
      </c>
      <c r="N52" s="98" t="s">
        <v>429</v>
      </c>
      <c r="O52" s="109">
        <v>1.0</v>
      </c>
      <c r="P52" s="135" t="s">
        <v>425</v>
      </c>
      <c r="Q52" s="56"/>
      <c r="R52" s="48"/>
      <c r="S52" s="48"/>
      <c r="T52" s="48"/>
      <c r="U52" s="48"/>
      <c r="V52" s="48"/>
      <c r="W52" s="48"/>
      <c r="X52" s="48"/>
      <c r="Y52" s="48"/>
      <c r="Z52" s="48"/>
    </row>
    <row r="53" ht="15.75" customHeight="1">
      <c r="A53" s="51"/>
      <c r="B53" s="101" t="s">
        <v>497</v>
      </c>
      <c r="C53" s="102">
        <f>SUM(C48:C51)</f>
        <v>20</v>
      </c>
      <c r="D53" s="103" t="s">
        <v>498</v>
      </c>
      <c r="E53" s="103" t="s">
        <v>499</v>
      </c>
      <c r="F53" s="103" t="s">
        <v>500</v>
      </c>
      <c r="G53" s="104">
        <f>C53/$C$53</f>
        <v>1</v>
      </c>
      <c r="H53" s="136" t="s">
        <v>501</v>
      </c>
      <c r="I53" s="137"/>
      <c r="J53" s="138" t="s">
        <v>502</v>
      </c>
      <c r="K53" s="139">
        <f>Calc_Data!AI5</f>
        <v>9</v>
      </c>
      <c r="L53" s="139">
        <f>Calc_Data!AI2</f>
        <v>6</v>
      </c>
      <c r="M53" s="139">
        <f>Calc_Data!AI3</f>
        <v>3</v>
      </c>
      <c r="N53" s="140" t="s">
        <v>503</v>
      </c>
      <c r="O53" s="141">
        <v>1.0</v>
      </c>
      <c r="P53" s="142" t="s">
        <v>504</v>
      </c>
      <c r="Q53" s="56"/>
      <c r="R53" s="48"/>
      <c r="S53" s="48"/>
      <c r="T53" s="48"/>
      <c r="U53" s="48"/>
      <c r="V53" s="48"/>
      <c r="W53" s="48"/>
      <c r="X53" s="48"/>
      <c r="Y53" s="48"/>
      <c r="Z53" s="48"/>
    </row>
    <row r="54" ht="15.75" customHeight="1">
      <c r="A54" s="51"/>
      <c r="B54" s="124" t="s">
        <v>505</v>
      </c>
      <c r="C54" s="143">
        <v>20.0</v>
      </c>
      <c r="D54" s="126" t="s">
        <v>506</v>
      </c>
      <c r="E54" s="126" t="s">
        <v>507</v>
      </c>
      <c r="F54" s="126" t="s">
        <v>508</v>
      </c>
      <c r="G54" s="127">
        <v>1.0</v>
      </c>
      <c r="H54" s="144" t="s">
        <v>509</v>
      </c>
      <c r="I54" s="137"/>
      <c r="J54" s="124" t="s">
        <v>510</v>
      </c>
      <c r="K54" s="143">
        <f>Calc_Data!AL5</f>
        <v>138</v>
      </c>
      <c r="L54" s="143">
        <f>Calc_Data!AL2</f>
        <v>121</v>
      </c>
      <c r="M54" s="143">
        <f>Calc_Data!AL3</f>
        <v>15</v>
      </c>
      <c r="N54" s="126" t="s">
        <v>511</v>
      </c>
      <c r="O54" s="127">
        <v>1.0</v>
      </c>
      <c r="P54" s="144" t="s">
        <v>512</v>
      </c>
      <c r="Q54" s="56"/>
      <c r="R54" s="48"/>
      <c r="S54" s="48"/>
      <c r="T54" s="48"/>
      <c r="U54" s="48"/>
      <c r="V54" s="48"/>
      <c r="W54" s="48"/>
      <c r="X54" s="48"/>
      <c r="Y54" s="48"/>
      <c r="Z54" s="48"/>
    </row>
    <row r="55" ht="15.75" customHeight="1">
      <c r="A55" s="48"/>
      <c r="B55" s="145"/>
      <c r="C55" s="145"/>
      <c r="D55" s="145"/>
      <c r="E55" s="145"/>
      <c r="F55" s="145"/>
      <c r="G55" s="145"/>
      <c r="H55" s="145"/>
      <c r="I55" s="48"/>
      <c r="J55" s="145"/>
      <c r="K55" s="145"/>
      <c r="L55" s="145"/>
      <c r="M55" s="145"/>
      <c r="N55" s="145"/>
      <c r="O55" s="145"/>
      <c r="P55" s="145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 customHeight="1">
      <c r="A56" s="51"/>
      <c r="B56" s="84" t="s">
        <v>513</v>
      </c>
      <c r="C56" s="85"/>
      <c r="D56" s="85"/>
      <c r="E56" s="85"/>
      <c r="F56" s="85"/>
      <c r="G56" s="85"/>
      <c r="H56" s="86"/>
      <c r="I56" s="146"/>
      <c r="J56" s="84" t="s">
        <v>514</v>
      </c>
      <c r="K56" s="85"/>
      <c r="L56" s="85"/>
      <c r="M56" s="85"/>
      <c r="N56" s="85"/>
      <c r="O56" s="85"/>
      <c r="P56" s="86"/>
      <c r="Q56" s="56"/>
      <c r="R56" s="48"/>
      <c r="S56" s="48"/>
      <c r="T56" s="48"/>
      <c r="U56" s="48"/>
      <c r="V56" s="48"/>
      <c r="W56" s="48"/>
      <c r="X56" s="48"/>
      <c r="Y56" s="48"/>
      <c r="Z56" s="48"/>
    </row>
    <row r="57" ht="15.75" customHeight="1">
      <c r="A57" s="51"/>
      <c r="B57" s="88" t="s">
        <v>515</v>
      </c>
      <c r="C57" s="147" t="s">
        <v>516</v>
      </c>
      <c r="D57" s="147" t="s">
        <v>369</v>
      </c>
      <c r="E57" s="147" t="s">
        <v>370</v>
      </c>
      <c r="F57" s="147" t="s">
        <v>371</v>
      </c>
      <c r="G57" s="147" t="s">
        <v>517</v>
      </c>
      <c r="H57" s="88" t="s">
        <v>518</v>
      </c>
      <c r="I57" s="146"/>
      <c r="J57" s="88" t="s">
        <v>519</v>
      </c>
      <c r="K57" s="147" t="s">
        <v>520</v>
      </c>
      <c r="L57" s="147" t="s">
        <v>521</v>
      </c>
      <c r="M57" s="147" t="s">
        <v>522</v>
      </c>
      <c r="N57" s="88" t="s">
        <v>523</v>
      </c>
      <c r="O57" s="147" t="s">
        <v>524</v>
      </c>
      <c r="P57" s="88" t="s">
        <v>525</v>
      </c>
      <c r="Q57" s="56"/>
      <c r="R57" s="48"/>
      <c r="S57" s="48"/>
      <c r="T57" s="48"/>
      <c r="U57" s="48"/>
      <c r="V57" s="48"/>
      <c r="W57" s="48"/>
      <c r="X57" s="48"/>
      <c r="Y57" s="48"/>
      <c r="Z57" s="48"/>
    </row>
    <row r="58" ht="15.75" customHeight="1">
      <c r="A58" s="51"/>
      <c r="B58" s="148" t="s">
        <v>526</v>
      </c>
      <c r="C58" s="149">
        <f>Calc_Data!AI8</f>
        <v>6</v>
      </c>
      <c r="D58" s="149">
        <f>Calc_Data!AJ8</f>
        <v>5</v>
      </c>
      <c r="E58" s="149">
        <f>Calc_Data!AK8</f>
        <v>2</v>
      </c>
      <c r="F58" s="150">
        <f>Calc_Data!AL8</f>
        <v>1</v>
      </c>
      <c r="G58" s="151">
        <f>Calc_Data!AM8</f>
        <v>0.3333333333</v>
      </c>
      <c r="H58" s="152" t="s">
        <v>527</v>
      </c>
      <c r="I58" s="146"/>
      <c r="J58" s="148" t="s">
        <v>528</v>
      </c>
      <c r="K58" s="150">
        <f>Calc_Data!C18</f>
        <v>7</v>
      </c>
      <c r="L58" s="150">
        <f>Calc_Data!D18</f>
        <v>5</v>
      </c>
      <c r="M58" s="150">
        <f>Calc_Data!E18</f>
        <v>2</v>
      </c>
      <c r="N58" s="153" t="s">
        <v>529</v>
      </c>
      <c r="O58" s="154">
        <f>Calc_Data!F18</f>
        <v>0.7142857143</v>
      </c>
      <c r="P58" s="152" t="s">
        <v>530</v>
      </c>
      <c r="Q58" s="56"/>
      <c r="R58" s="48"/>
      <c r="S58" s="48"/>
      <c r="T58" s="48"/>
      <c r="U58" s="48"/>
      <c r="V58" s="48"/>
      <c r="W58" s="48"/>
      <c r="X58" s="48"/>
      <c r="Y58" s="48"/>
      <c r="Z58" s="48"/>
    </row>
    <row r="59" ht="15.75" customHeight="1">
      <c r="A59" s="51"/>
      <c r="B59" s="108" t="s">
        <v>531</v>
      </c>
      <c r="C59" s="134">
        <f>Calc_Data!AI9</f>
        <v>3</v>
      </c>
      <c r="D59" s="134">
        <f>Calc_Data!AJ9</f>
        <v>0</v>
      </c>
      <c r="E59" s="134">
        <f>Calc_Data!AK9</f>
        <v>3</v>
      </c>
      <c r="F59" s="97">
        <f>Calc_Data!AL9</f>
        <v>0</v>
      </c>
      <c r="G59" s="99">
        <f>Calc_Data!AM9</f>
        <v>1</v>
      </c>
      <c r="H59" s="135" t="s">
        <v>532</v>
      </c>
      <c r="I59" s="146"/>
      <c r="J59" s="108" t="s">
        <v>533</v>
      </c>
      <c r="K59" s="97">
        <f>Calc_Data!C19</f>
        <v>5</v>
      </c>
      <c r="L59" s="97">
        <f>Calc_Data!D19</f>
        <v>5</v>
      </c>
      <c r="M59" s="97">
        <f>Calc_Data!E19</f>
        <v>0</v>
      </c>
      <c r="N59" s="98" t="s">
        <v>534</v>
      </c>
      <c r="O59" s="109">
        <f>Calc_Data!F19</f>
        <v>1</v>
      </c>
      <c r="P59" s="135" t="s">
        <v>535</v>
      </c>
      <c r="Q59" s="56"/>
      <c r="R59" s="48"/>
      <c r="S59" s="48"/>
      <c r="T59" s="48"/>
      <c r="U59" s="48"/>
      <c r="V59" s="48"/>
      <c r="W59" s="48"/>
      <c r="X59" s="48"/>
      <c r="Y59" s="48"/>
      <c r="Z59" s="48"/>
    </row>
    <row r="60" ht="15.75" customHeight="1">
      <c r="A60" s="51"/>
      <c r="B60" s="155" t="s">
        <v>536</v>
      </c>
      <c r="C60" s="156">
        <f>Calc_Data!AI10</f>
        <v>9</v>
      </c>
      <c r="D60" s="156">
        <f>Calc_Data!AJ10</f>
        <v>5</v>
      </c>
      <c r="E60" s="156">
        <f>Calc_Data!AK10</f>
        <v>5</v>
      </c>
      <c r="F60" s="157">
        <f>Calc_Data!AL10</f>
        <v>1</v>
      </c>
      <c r="G60" s="158">
        <f>Calc_Data!AM10</f>
        <v>0.5555555556</v>
      </c>
      <c r="H60" s="159" t="s">
        <v>537</v>
      </c>
      <c r="I60" s="146"/>
      <c r="J60" s="148" t="s">
        <v>386</v>
      </c>
      <c r="K60" s="150">
        <f>Calc_Data!C20</f>
        <v>9</v>
      </c>
      <c r="L60" s="150">
        <f>Calc_Data!D20</f>
        <v>5</v>
      </c>
      <c r="M60" s="150">
        <f>Calc_Data!E20</f>
        <v>4</v>
      </c>
      <c r="N60" s="153" t="s">
        <v>538</v>
      </c>
      <c r="O60" s="154">
        <f>Calc_Data!F20</f>
        <v>0.5555555556</v>
      </c>
      <c r="P60" s="152" t="s">
        <v>539</v>
      </c>
      <c r="Q60" s="56"/>
      <c r="R60" s="48"/>
      <c r="S60" s="48"/>
      <c r="T60" s="48"/>
      <c r="U60" s="48"/>
      <c r="V60" s="48"/>
      <c r="W60" s="48"/>
      <c r="X60" s="48"/>
      <c r="Y60" s="48"/>
      <c r="Z60" s="48"/>
    </row>
    <row r="61" ht="15.75" customHeight="1">
      <c r="A61" s="51"/>
      <c r="B61" s="108" t="s">
        <v>540</v>
      </c>
      <c r="C61" s="97">
        <v>1.0</v>
      </c>
      <c r="D61" s="97">
        <v>1.0</v>
      </c>
      <c r="E61" s="97">
        <v>1.0</v>
      </c>
      <c r="F61" s="97">
        <v>1.0</v>
      </c>
      <c r="G61" s="109">
        <v>1.0</v>
      </c>
      <c r="H61" s="135" t="s">
        <v>541</v>
      </c>
      <c r="I61" s="146"/>
      <c r="J61" s="108" t="s">
        <v>388</v>
      </c>
      <c r="K61" s="97">
        <f>Calc_Data!C21</f>
        <v>9</v>
      </c>
      <c r="L61" s="97">
        <f>Calc_Data!D21</f>
        <v>5</v>
      </c>
      <c r="M61" s="97">
        <f>Calc_Data!E21</f>
        <v>4</v>
      </c>
      <c r="N61" s="98" t="s">
        <v>538</v>
      </c>
      <c r="O61" s="109">
        <f>Calc_Data!F21</f>
        <v>0.5555555556</v>
      </c>
      <c r="P61" s="135" t="s">
        <v>542</v>
      </c>
      <c r="Q61" s="56"/>
      <c r="R61" s="48"/>
      <c r="S61" s="48"/>
      <c r="T61" s="48"/>
      <c r="U61" s="48"/>
      <c r="V61" s="48"/>
      <c r="W61" s="48"/>
      <c r="X61" s="48"/>
      <c r="Y61" s="48"/>
      <c r="Z61" s="48"/>
    </row>
    <row r="62" ht="15.75" customHeight="1">
      <c r="A62" s="51"/>
      <c r="B62" s="160" t="s">
        <v>543</v>
      </c>
      <c r="C62" s="161">
        <f>Calc_Data!AI11</f>
        <v>4</v>
      </c>
      <c r="D62" s="161">
        <f>Calc_Data!AJ11</f>
        <v>4</v>
      </c>
      <c r="E62" s="162">
        <v>0.0</v>
      </c>
      <c r="F62" s="162">
        <v>0.0</v>
      </c>
      <c r="G62" s="163">
        <v>0.0</v>
      </c>
      <c r="H62" s="164" t="s">
        <v>544</v>
      </c>
      <c r="I62" s="146"/>
      <c r="J62" s="155" t="s">
        <v>390</v>
      </c>
      <c r="K62" s="157">
        <f>Calc_Data!C22</f>
        <v>8</v>
      </c>
      <c r="L62" s="157">
        <f>Calc_Data!D22</f>
        <v>5</v>
      </c>
      <c r="M62" s="157">
        <f>Calc_Data!E22</f>
        <v>3</v>
      </c>
      <c r="N62" s="165" t="s">
        <v>545</v>
      </c>
      <c r="O62" s="158">
        <f>Calc_Data!F22</f>
        <v>0.625</v>
      </c>
      <c r="P62" s="159" t="s">
        <v>546</v>
      </c>
      <c r="Q62" s="56"/>
      <c r="R62" s="48"/>
      <c r="S62" s="48"/>
      <c r="T62" s="48"/>
      <c r="U62" s="48"/>
      <c r="V62" s="48"/>
      <c r="W62" s="48"/>
      <c r="X62" s="48"/>
      <c r="Y62" s="48"/>
      <c r="Z62" s="48"/>
    </row>
    <row r="63" ht="15.75" customHeight="1">
      <c r="A63" s="51"/>
      <c r="B63" s="160" t="s">
        <v>547</v>
      </c>
      <c r="C63" s="161">
        <f>Calc_Data!AI12</f>
        <v>4</v>
      </c>
      <c r="D63" s="162">
        <v>0.0</v>
      </c>
      <c r="E63" s="161">
        <f>Calc_Data!AK12</f>
        <v>4</v>
      </c>
      <c r="F63" s="162">
        <v>0.0</v>
      </c>
      <c r="G63" s="163">
        <v>1.0</v>
      </c>
      <c r="H63" s="164" t="s">
        <v>548</v>
      </c>
      <c r="I63" s="146"/>
      <c r="J63" s="166" t="s">
        <v>391</v>
      </c>
      <c r="K63" s="167">
        <f>Calc_Data!C23</f>
        <v>38</v>
      </c>
      <c r="L63" s="167">
        <f>Calc_Data!D23</f>
        <v>25</v>
      </c>
      <c r="M63" s="167">
        <f>Calc_Data!E23</f>
        <v>13</v>
      </c>
      <c r="N63" s="168" t="s">
        <v>444</v>
      </c>
      <c r="O63" s="169">
        <f>Calc_Data!F23</f>
        <v>0.6578947368</v>
      </c>
      <c r="P63" s="170" t="s">
        <v>549</v>
      </c>
      <c r="Q63" s="56"/>
      <c r="R63" s="48"/>
      <c r="S63" s="48"/>
      <c r="T63" s="48"/>
      <c r="U63" s="48"/>
      <c r="V63" s="48"/>
      <c r="W63" s="48"/>
      <c r="X63" s="48"/>
      <c r="Y63" s="48"/>
      <c r="Z63" s="48"/>
    </row>
    <row r="64" ht="15.75" customHeight="1">
      <c r="A64" s="51"/>
      <c r="B64" s="155" t="s">
        <v>550</v>
      </c>
      <c r="C64" s="158">
        <f>Calc_Data!AM10</f>
        <v>0.5555555556</v>
      </c>
      <c r="D64" s="157" t="s">
        <v>551</v>
      </c>
      <c r="E64" s="157" t="s">
        <v>552</v>
      </c>
      <c r="F64" s="157" t="s">
        <v>553</v>
      </c>
      <c r="G64" s="158">
        <f>Calc_Data!AM10</f>
        <v>0.5555555556</v>
      </c>
      <c r="H64" s="159" t="s">
        <v>554</v>
      </c>
      <c r="I64" s="146"/>
      <c r="J64" s="160" t="s">
        <v>555</v>
      </c>
      <c r="K64" s="162">
        <v>2.0</v>
      </c>
      <c r="L64" s="162">
        <v>2.0</v>
      </c>
      <c r="M64" s="162">
        <v>0.0</v>
      </c>
      <c r="N64" s="171" t="s">
        <v>556</v>
      </c>
      <c r="O64" s="163">
        <v>1.0</v>
      </c>
      <c r="P64" s="164" t="s">
        <v>557</v>
      </c>
      <c r="Q64" s="56"/>
      <c r="R64" s="48"/>
      <c r="S64" s="48"/>
      <c r="T64" s="48"/>
      <c r="U64" s="48"/>
      <c r="V64" s="48"/>
      <c r="W64" s="48"/>
      <c r="X64" s="48"/>
      <c r="Y64" s="48"/>
      <c r="Z64" s="48"/>
    </row>
    <row r="65" ht="15.75" customHeight="1">
      <c r="A65" s="48"/>
      <c r="B65" s="172" t="s">
        <v>558</v>
      </c>
      <c r="C65" s="173">
        <v>9.0</v>
      </c>
      <c r="D65" s="173" t="s">
        <v>559</v>
      </c>
      <c r="E65" s="173" t="s">
        <v>560</v>
      </c>
      <c r="F65" s="173" t="s">
        <v>561</v>
      </c>
      <c r="G65" s="174">
        <v>1.0</v>
      </c>
      <c r="H65" s="175" t="s">
        <v>562</v>
      </c>
      <c r="I65" s="48"/>
      <c r="J65" s="176" t="s">
        <v>563</v>
      </c>
      <c r="K65" s="177">
        <f t="shared" ref="K65:M65" si="17">K58+K59</f>
        <v>12</v>
      </c>
      <c r="L65" s="177">
        <f t="shared" si="17"/>
        <v>10</v>
      </c>
      <c r="M65" s="177">
        <f t="shared" si="17"/>
        <v>2</v>
      </c>
      <c r="N65" s="178" t="s">
        <v>564</v>
      </c>
      <c r="O65" s="179">
        <f>L65/K65</f>
        <v>0.8333333333</v>
      </c>
      <c r="P65" s="180" t="s">
        <v>565</v>
      </c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L7:M7"/>
    <mergeCell ref="N5:P5"/>
    <mergeCell ref="N6:P6"/>
    <mergeCell ref="N7:P7"/>
    <mergeCell ref="B5:C5"/>
    <mergeCell ref="B6:C6"/>
    <mergeCell ref="B7:C7"/>
    <mergeCell ref="F7:H7"/>
    <mergeCell ref="B35:H35"/>
    <mergeCell ref="J35:P35"/>
    <mergeCell ref="J46:P46"/>
    <mergeCell ref="B2:P3"/>
    <mergeCell ref="D6:E6"/>
    <mergeCell ref="D7:E7"/>
    <mergeCell ref="F5:H5"/>
    <mergeCell ref="F6:H6"/>
    <mergeCell ref="D5:E5"/>
    <mergeCell ref="J5:K5"/>
    <mergeCell ref="J6:K6"/>
    <mergeCell ref="J7:K7"/>
    <mergeCell ref="L5:M5"/>
    <mergeCell ref="L6:M6"/>
    <mergeCell ref="B46:H46"/>
    <mergeCell ref="B56:H56"/>
    <mergeCell ref="J56:P56"/>
  </mergeCells>
  <hyperlinks>
    <hyperlink display="COMPUTERS &amp; DEVICES" location="' Physical Assets'!A1" ref="B5"/>
    <hyperlink display="OFFICE EQUIPMENT" location="'Office&amp;Facilities'!A1" ref="D5"/>
    <hyperlink display="TOTAL COMPANY ITEMS" location="' Physical Assets'!A1" ref="F5"/>
    <hyperlink display="ONLINE ACCOUNTS" location="' Digital&amp;Accounts'!A1" ref="J5"/>
    <hyperlink display="DAILY SPREADSHEETS" location="'Data&amp;Workbooks'!A1" ref="L5"/>
    <hyperlink display="ACTIVE TEAM MEMBERS" location="'Staff Inventory'!A1" ref="N5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6" t="s">
        <v>340</v>
      </c>
      <c r="B1" s="7">
        <f>COUNTA(' Physical Assets'!C2:C1000)</f>
        <v>22</v>
      </c>
      <c r="D1" s="7" t="str">
        <f>IFERROR(__xludf.DUMMYFUNCTION("QUERY(ARRAYFORMULA(PROPER(TRIM(' Physical Assets'!J1:J50))), ""SELECT Col1, COUNT(Col1) WHERE Col1 IS NOT NULL AND Col1 != '' AND Col1 != 'Condition' GROUP BY Col1 ORDER BY COUNT(Col1) DESC LABEL Col1 'Condition', COUNT(Col1) 'Count'"", 1)"),"Condition")</f>
        <v>Condition</v>
      </c>
      <c r="E1" s="7" t="str">
        <f>IFERROR(__xludf.DUMMYFUNCTION("""COMPUTED_VALUE"""),"Count")</f>
        <v>Count</v>
      </c>
      <c r="G1" s="7" t="str">
        <f>IFERROR(__xludf.DUMMYFUNCTION("QUERY(ARRAYFORMULA(PROPER(TRIM(' Physical Assets'!K1:K50))), ""SELECT Col1, COUNT(Col1) WHERE Col1 IS NOT NULL AND Col1 != '' AND Col1 != 'Status (Active/Repair/Retired)' GROUP BY Col1 ORDER BY COUNT(Col1) DESC LABEL Col1 'Status', COUNT(Col1) 'Count'"", "&amp;"1)"),"Status")</f>
        <v>Status</v>
      </c>
      <c r="H1" s="7" t="str">
        <f>IFERROR(__xludf.DUMMYFUNCTION("""COMPUTED_VALUE"""),"Count")</f>
        <v>Count</v>
      </c>
      <c r="J1" s="7" t="s">
        <v>341</v>
      </c>
      <c r="K1" s="7" t="s">
        <v>342</v>
      </c>
      <c r="M1" s="7" t="str">
        <f>IFERROR(__xludf.DUMMYFUNCTION("IF(COUNTA('Data&amp;Workbooks'!F2:F1000)=0, {""Department"", ""Count""; ""No Data"", 0}, QUERY('Data&amp;Workbooks'!A1:H1000, ""SELECT F, COUNT(F) WHERE F IS NOT NULL AND F != 'Department' GROUP BY F LABEL F 'Department', COUNT(F) 'Count'"", 1))"),"Department")</f>
        <v>Department</v>
      </c>
      <c r="N1" s="7" t="str">
        <f>IFERROR(__xludf.DUMMYFUNCTION("""COMPUTED_VALUE"""),"Count")</f>
        <v>Count</v>
      </c>
      <c r="P1" s="4" t="str">
        <f>IFERROR(__xludf.DUMMYFUNCTION("QUERY(MAP(' Physical Assets'!G2:G23, LAMBDA(d, IFS(ISBLANK(d), ""Reserve Devices"", LOWER(TRIM(d))="""", ""Reserve Devices"", LOWER(TRIM(d))=""marketing/applications"", ""Marketing / Applications (Joint)"", LOWER(TRIM(d))=""it &amp; infrastructure systems"", "&amp;"""IT &amp; Infrastructure Systems"", REGEXMATCH(LOWER(TRIM(d)), ""^app""), ""Applications &amp; Counseling"", REGEXMATCH(LOWER(TRIM(d)), ""^market""), ""Marketing and Sales"", REGEXMATCH(LOWER(TRIM(d)), ""^conver""), ""Conversion"", REGEXMATCH(LOWER(TRIM(d)), ""^"&amp;"manage""), ""Management"", TRUE, TRIM(d)))), ""SELECT Col1, COUNT(Col1) WHERE Col1 IS NOT NULL AND Col1 != '' GROUP BY Col1 ORDER BY COUNT(Col1) DESC LABEL Col1 'Department', COUNT(Col1) 'Total Assets'"")"),"Department")</f>
        <v>Department</v>
      </c>
      <c r="Q1" s="4" t="str">
        <f>IFERROR(__xludf.DUMMYFUNCTION("""COMPUTED_VALUE"""),"Total Assets")</f>
        <v>Total Assets</v>
      </c>
      <c r="S1" s="4" t="str">
        <f>IFERROR(__xludf.DUMMYFUNCTION("QUERY('Office&amp;Facilities'!D1:F100, ""SELECT D, SUM(F) WHERE D IS NOT NULL AND D != 'Category (Furniture/Network/Peripheral)' GROUP BY D ORDER BY SUM(F) DESC LABEL D 'Category', SUM(F) 'Total Assets'"", 1)"),"Category")</f>
        <v>Category</v>
      </c>
      <c r="T1" s="4" t="str">
        <f>IFERROR(__xludf.DUMMYFUNCTION("""COMPUTED_VALUE"""),"Total Assets")</f>
        <v>Total Assets</v>
      </c>
      <c r="V1" s="37" t="s">
        <v>343</v>
      </c>
      <c r="W1" s="37" t="s">
        <v>344</v>
      </c>
      <c r="Y1" s="5" t="s">
        <v>345</v>
      </c>
      <c r="Z1" s="5" t="s">
        <v>344</v>
      </c>
      <c r="AA1" s="5" t="str">
        <f>IFERROR(__xludf.DUMMYFUNCTION("QUERY(MAP(FILTER(' Digital&amp;Accounts'!B2:B57, ' Digital&amp;Accounts'!B2:B57&lt;&gt;""""), LAMBDA(p, IFS(REGEXMATCH(LOWER(p), ""crizac""), ""Crizac Portal"", REGEXMATCH(LOWER(p), ""si[- /]?uk|si-app""), ""SI-UK Portal"", REGEXMATCH(LOWER(p), ""basechan""), ""Basecha"&amp;"n CRM / App"", REGEXMATCH(LOWER(p), ""google|gmail|spreadsheet""), ""Google Workspace"", REGEXMATCH(LOWER(p), ""firm""), ""Firmli CRM"", REGEXMATCH(LOWER(p), ""edvoy""), ""Edvoy Portal"", REGEXMATCH(LOWER(p), ""microsoft""), ""Microsoft 365"", REGEXMATCH("&amp;"LOWER(p), ""canva""), ""Canva Pro"", REGEXMATCH(LOWER(p), ""ceg|sunderland|uap|lsbu""), ""University Portals"", TRUE, ""Other Platforms""))), ""SELECT Col1, COUNT(Col1) WHERE Col1 IS NOT NULL GROUP BY Col1 ORDER BY COUNT(Col1) DESC LABEL Col1 'Platform / "&amp;"Software', COUNT(Col1) 'Account Count'"")"),"Platform / Software")</f>
        <v>Platform / Software</v>
      </c>
      <c r="AB1" s="5" t="str">
        <f>IFERROR(__xludf.DUMMYFUNCTION("""COMPUTED_VALUE"""),"Account Count")</f>
        <v>Account Count</v>
      </c>
      <c r="AC1" s="5"/>
      <c r="AD1" s="5" t="s">
        <v>346</v>
      </c>
      <c r="AE1" s="5" t="s">
        <v>347</v>
      </c>
      <c r="AF1" s="5"/>
      <c r="AG1" s="5"/>
      <c r="AH1" s="37" t="s">
        <v>10</v>
      </c>
      <c r="AI1" s="37" t="s">
        <v>348</v>
      </c>
      <c r="AJ1" s="37" t="s">
        <v>349</v>
      </c>
      <c r="AK1" s="37" t="s">
        <v>350</v>
      </c>
      <c r="AL1" s="37" t="s">
        <v>351</v>
      </c>
      <c r="AM1" s="37"/>
    </row>
    <row r="2" ht="15.75" customHeight="1">
      <c r="A2" s="36" t="s">
        <v>352</v>
      </c>
      <c r="B2" s="7">
        <f>COUNTA(' Digital&amp;Accounts'!B2:B57)</f>
        <v>52</v>
      </c>
      <c r="D2" s="7" t="str">
        <f>IFERROR(__xludf.DUMMYFUNCTION("""COMPUTED_VALUE"""),"Fairly Used In Good Condition")</f>
        <v>Fairly Used In Good Condition</v>
      </c>
      <c r="E2" s="7">
        <f>IFERROR(__xludf.DUMMYFUNCTION("""COMPUTED_VALUE"""),5.0)</f>
        <v>5</v>
      </c>
      <c r="G2" s="7" t="str">
        <f>IFERROR(__xludf.DUMMYFUNCTION("""COMPUTED_VALUE"""),"Active")</f>
        <v>Active</v>
      </c>
      <c r="H2" s="7">
        <f>IFERROR(__xludf.DUMMYFUNCTION("""COMPUTED_VALUE"""),14.0)</f>
        <v>14</v>
      </c>
      <c r="J2" s="7" t="s">
        <v>152</v>
      </c>
      <c r="K2" s="7">
        <f>COUNTIF(' Physical Assets'!J:J, J2)</f>
        <v>1</v>
      </c>
      <c r="M2" s="7" t="str">
        <f>IFERROR(__xludf.DUMMYFUNCTION("""COMPUTED_VALUE"""),"ALL")</f>
        <v>ALL</v>
      </c>
      <c r="N2" s="7">
        <f>IFERROR(__xludf.DUMMYFUNCTION("""COMPUTED_VALUE"""),3.0)</f>
        <v>3</v>
      </c>
      <c r="P2" s="4" t="str">
        <f>IFERROR(__xludf.DUMMYFUNCTION("""COMPUTED_VALUE"""),"Applications &amp; Counseling")</f>
        <v>Applications &amp; Counseling</v>
      </c>
      <c r="Q2" s="4">
        <f>IFERROR(__xludf.DUMMYFUNCTION("""COMPUTED_VALUE"""),9.0)</f>
        <v>9</v>
      </c>
      <c r="S2" s="4" t="str">
        <f>IFERROR(__xludf.DUMMYFUNCTION("""COMPUTED_VALUE"""),"FURNITURE")</f>
        <v>FURNITURE</v>
      </c>
      <c r="T2" s="4">
        <f>IFERROR(__xludf.DUMMYFUNCTION("""COMPUTED_VALUE"""),63.0)</f>
        <v>63</v>
      </c>
      <c r="V2" s="5" t="s">
        <v>61</v>
      </c>
      <c r="W2" s="4">
        <f>COUNTIF(' Physical Assets'!$H$2:$H$50, "Abuja Branch") + SUMIF('Office&amp;Facilities'!$B$2:$B$50, "ABUJA", 'Office&amp;Facilities'!$F$2:$F$50)</f>
        <v>121</v>
      </c>
      <c r="Y2" s="5" t="s">
        <v>353</v>
      </c>
      <c r="Z2" s="4">
        <f>B1</f>
        <v>22</v>
      </c>
      <c r="AA2" s="4" t="str">
        <f>IFERROR(__xludf.DUMMYFUNCTION("""COMPUTED_VALUE"""),"University Portals")</f>
        <v>University Portals</v>
      </c>
      <c r="AB2" s="4">
        <f>IFERROR(__xludf.DUMMYFUNCTION("""COMPUTED_VALUE"""),10.0)</f>
        <v>10</v>
      </c>
      <c r="AD2" s="5" t="s">
        <v>354</v>
      </c>
      <c r="AE2" s="4">
        <f>COUNTIF('Data&amp;Workbooks'!F2:F24, "*Lead*") + COUNTIF('Data&amp;Workbooks'!B2:B24, "*Marketing*") + COUNTIF('Data&amp;Workbooks'!B2:B24, "*Leads*") + COUNTIF('Data&amp;Workbooks'!B2:B24, "*Agent*")</f>
        <v>8</v>
      </c>
      <c r="AH2" s="5" t="s">
        <v>61</v>
      </c>
      <c r="AI2" s="4">
        <f>COUNTIF('Staff Inventory'!$I$2:$I$50, "Abuja Branch")</f>
        <v>6</v>
      </c>
      <c r="AJ2" s="4">
        <f>COUNTIF(' Physical Assets'!$H$2:$H$50, "Abuja Branch")</f>
        <v>17</v>
      </c>
      <c r="AK2" s="4">
        <f>SUMIF('Office&amp;Facilities'!$B$2:$B$50, "ABUJA", 'Office&amp;Facilities'!$F$2:$F$50)</f>
        <v>104</v>
      </c>
      <c r="AL2" s="4">
        <f t="shared" ref="AL2:AL4" si="1">AJ2+AK2</f>
        <v>121</v>
      </c>
    </row>
    <row r="3" ht="15.75" customHeight="1">
      <c r="A3" s="36" t="s">
        <v>355</v>
      </c>
      <c r="B3" s="7">
        <f>COUNTA('Staff Inventory'!B2:B1000)</f>
        <v>9</v>
      </c>
      <c r="D3" s="4" t="str">
        <f>IFERROR(__xludf.DUMMYFUNCTION("""COMPUTED_VALUE"""),"In Good Condition")</f>
        <v>In Good Condition</v>
      </c>
      <c r="E3" s="4">
        <f>IFERROR(__xludf.DUMMYFUNCTION("""COMPUTED_VALUE"""),5.0)</f>
        <v>5</v>
      </c>
      <c r="G3" s="4" t="str">
        <f>IFERROR(__xludf.DUMMYFUNCTION("""COMPUTED_VALUE"""),"Functional")</f>
        <v>Functional</v>
      </c>
      <c r="H3" s="4">
        <f>IFERROR(__xludf.DUMMYFUNCTION("""COMPUTED_VALUE"""),6.0)</f>
        <v>6</v>
      </c>
      <c r="J3" s="7" t="s">
        <v>44</v>
      </c>
      <c r="K3" s="7">
        <f>COUNTIF(' Physical Assets'!J:J, J3)</f>
        <v>5</v>
      </c>
      <c r="M3" s="4" t="str">
        <f>IFERROR(__xludf.DUMMYFUNCTION("""COMPUTED_VALUE"""),"Application")</f>
        <v>Application</v>
      </c>
      <c r="N3" s="4">
        <f>IFERROR(__xludf.DUMMYFUNCTION("""COMPUTED_VALUE"""),3.0)</f>
        <v>3</v>
      </c>
      <c r="P3" s="4" t="str">
        <f>IFERROR(__xludf.DUMMYFUNCTION("""COMPUTED_VALUE"""),"Marketing and Sales")</f>
        <v>Marketing and Sales</v>
      </c>
      <c r="Q3" s="4">
        <f>IFERROR(__xludf.DUMMYFUNCTION("""COMPUTED_VALUE"""),6.0)</f>
        <v>6</v>
      </c>
      <c r="S3" s="4" t="str">
        <f>IFERROR(__xludf.DUMMYFUNCTION("""COMPUTED_VALUE"""),"HARDWARE")</f>
        <v>HARDWARE</v>
      </c>
      <c r="T3" s="4">
        <f>IFERROR(__xludf.DUMMYFUNCTION("""COMPUTED_VALUE"""),53.0)</f>
        <v>53</v>
      </c>
      <c r="V3" s="5" t="s">
        <v>27</v>
      </c>
      <c r="W3" s="4">
        <f>COUNTIF(' Physical Assets'!$H$2:$H$50, "Benin Branch") + SUMIF('Office&amp;Facilities'!$B$2:$B$50, "BENIN", 'Office&amp;Facilities'!$F$2:$F$50)</f>
        <v>15</v>
      </c>
      <c r="Y3" s="5" t="s">
        <v>356</v>
      </c>
      <c r="Z3" s="4">
        <f>B5</f>
        <v>116</v>
      </c>
      <c r="AA3" s="4" t="str">
        <f>IFERROR(__xludf.DUMMYFUNCTION("""COMPUTED_VALUE"""),"Crizac Portal")</f>
        <v>Crizac Portal</v>
      </c>
      <c r="AB3" s="4">
        <f>IFERROR(__xludf.DUMMYFUNCTION("""COMPUTED_VALUE"""),8.0)</f>
        <v>8</v>
      </c>
      <c r="AD3" s="5" t="s">
        <v>357</v>
      </c>
      <c r="AE3" s="4">
        <f>COUNTIF('Data&amp;Workbooks'!F2:F24, "*App*") + 2</f>
        <v>7</v>
      </c>
      <c r="AH3" s="5" t="s">
        <v>27</v>
      </c>
      <c r="AI3" s="4">
        <f>COUNTIF('Staff Inventory'!$I$2:$I$50, "Benin Branch")</f>
        <v>3</v>
      </c>
      <c r="AJ3" s="4">
        <f>COUNTIF(' Physical Assets'!$H$2:$H$50, "Benin Branch")</f>
        <v>3</v>
      </c>
      <c r="AK3" s="4">
        <f>SUMIF('Office&amp;Facilities'!$B$2:$B$50, "BENIN", 'Office&amp;Facilities'!$F$2:$F$50)</f>
        <v>12</v>
      </c>
      <c r="AL3" s="4">
        <f t="shared" si="1"/>
        <v>15</v>
      </c>
    </row>
    <row r="4" ht="15.75" customHeight="1">
      <c r="A4" s="36" t="s">
        <v>358</v>
      </c>
      <c r="B4" s="7">
        <f>COUNTIF(' Physical Assets'!K2:K1000, "*Repair*")</f>
        <v>0</v>
      </c>
      <c r="D4" s="4" t="str">
        <f>IFERROR(__xludf.DUMMYFUNCTION("""COMPUTED_VALUE"""),"Good")</f>
        <v>Good</v>
      </c>
      <c r="E4" s="4">
        <f>IFERROR(__xludf.DUMMYFUNCTION("""COMPUTED_VALUE"""),4.0)</f>
        <v>4</v>
      </c>
      <c r="G4" s="4" t="str">
        <f>IFERROR(__xludf.DUMMYFUNCTION("""COMPUTED_VALUE"""),"Retired")</f>
        <v>Retired</v>
      </c>
      <c r="H4" s="4">
        <f>IFERROR(__xludf.DUMMYFUNCTION("""COMPUTED_VALUE"""),1.0)</f>
        <v>1</v>
      </c>
      <c r="J4" s="7" t="s">
        <v>146</v>
      </c>
      <c r="K4" s="7">
        <f>COUNTIF(' Physical Assets'!J:J, J4)</f>
        <v>1</v>
      </c>
      <c r="M4" s="4" t="str">
        <f>IFERROR(__xludf.DUMMYFUNCTION("""COMPUTED_VALUE"""),"Application/Report")</f>
        <v>Application/Report</v>
      </c>
      <c r="N4" s="4">
        <f>IFERROR(__xludf.DUMMYFUNCTION("""COMPUTED_VALUE"""),2.0)</f>
        <v>2</v>
      </c>
      <c r="P4" s="4" t="str">
        <f>IFERROR(__xludf.DUMMYFUNCTION("""COMPUTED_VALUE"""),"Conversion")</f>
        <v>Conversion</v>
      </c>
      <c r="Q4" s="4">
        <f>IFERROR(__xludf.DUMMYFUNCTION("""COMPUTED_VALUE"""),2.0)</f>
        <v>2</v>
      </c>
      <c r="V4" s="5" t="s">
        <v>359</v>
      </c>
      <c r="W4" s="4">
        <f>COUNTIF(' Physical Assets'!$H$2:$H$23, "")</f>
        <v>2</v>
      </c>
      <c r="Y4" s="5" t="s">
        <v>360</v>
      </c>
      <c r="Z4" s="4">
        <f>SUM(Z2:Z3)</f>
        <v>138</v>
      </c>
      <c r="AA4" s="4" t="str">
        <f>IFERROR(__xludf.DUMMYFUNCTION("""COMPUTED_VALUE"""),"SI-UK Portal")</f>
        <v>SI-UK Portal</v>
      </c>
      <c r="AB4" s="4">
        <f>IFERROR(__xludf.DUMMYFUNCTION("""COMPUTED_VALUE"""),8.0)</f>
        <v>8</v>
      </c>
      <c r="AD4" s="5" t="s">
        <v>361</v>
      </c>
      <c r="AE4" s="4">
        <f>COUNTIF('Data&amp;Workbooks'!F2:F24, "ALL")</f>
        <v>3</v>
      </c>
      <c r="AH4" s="5" t="s">
        <v>362</v>
      </c>
      <c r="AI4" s="5">
        <v>0.0</v>
      </c>
      <c r="AJ4" s="4">
        <f>COUNTIF(' Physical Assets'!$H$2:$H$23, "")</f>
        <v>2</v>
      </c>
      <c r="AK4" s="5">
        <v>0.0</v>
      </c>
      <c r="AL4" s="4">
        <f t="shared" si="1"/>
        <v>2</v>
      </c>
    </row>
    <row r="5" ht="15.75" customHeight="1">
      <c r="A5" s="5" t="s">
        <v>363</v>
      </c>
      <c r="B5" s="4">
        <f>SUM('Office&amp;Facilities'!F2:F1000)</f>
        <v>116</v>
      </c>
      <c r="D5" s="4" t="str">
        <f>IFERROR(__xludf.DUMMYFUNCTION("""COMPUTED_VALUE"""),"Used")</f>
        <v>Used</v>
      </c>
      <c r="E5" s="4">
        <f>IFERROR(__xludf.DUMMYFUNCTION("""COMPUTED_VALUE"""),3.0)</f>
        <v>3</v>
      </c>
      <c r="J5" s="7" t="s">
        <v>364</v>
      </c>
      <c r="K5" s="7">
        <f>COUNTIF(' Physical Assets'!J:J, J5)</f>
        <v>0</v>
      </c>
      <c r="M5" s="4" t="str">
        <f>IFERROR(__xludf.DUMMYFUNCTION("""COMPUTED_VALUE"""),"Conversion")</f>
        <v>Conversion</v>
      </c>
      <c r="N5" s="4">
        <f>IFERROR(__xludf.DUMMYFUNCTION("""COMPUTED_VALUE"""),2.0)</f>
        <v>2</v>
      </c>
      <c r="P5" s="4" t="str">
        <f>IFERROR(__xludf.DUMMYFUNCTION("""COMPUTED_VALUE"""),"Reserve Devices")</f>
        <v>Reserve Devices</v>
      </c>
      <c r="Q5" s="4">
        <f>IFERROR(__xludf.DUMMYFUNCTION("""COMPUTED_VALUE"""),2.0)</f>
        <v>2</v>
      </c>
      <c r="V5" s="5" t="s">
        <v>365</v>
      </c>
      <c r="W5" s="4">
        <f>SUM(W2:W4)</f>
        <v>138</v>
      </c>
      <c r="AA5" s="4" t="str">
        <f>IFERROR(__xludf.DUMMYFUNCTION("""COMPUTED_VALUE"""),"Google Workspace")</f>
        <v>Google Workspace</v>
      </c>
      <c r="AB5" s="4">
        <f>IFERROR(__xludf.DUMMYFUNCTION("""COMPUTED_VALUE"""),7.0)</f>
        <v>7</v>
      </c>
      <c r="AD5" s="5" t="s">
        <v>366</v>
      </c>
      <c r="AE5" s="4">
        <f>COUNTIF('Data&amp;Workbooks'!F2:F24, "Conversion")</f>
        <v>2</v>
      </c>
      <c r="AH5" s="5" t="s">
        <v>365</v>
      </c>
      <c r="AI5" s="4">
        <f t="shared" ref="AI5:AL5" si="2">SUM(AI2:AI4)</f>
        <v>9</v>
      </c>
      <c r="AJ5" s="4">
        <f t="shared" si="2"/>
        <v>22</v>
      </c>
      <c r="AK5" s="4">
        <f t="shared" si="2"/>
        <v>116</v>
      </c>
      <c r="AL5" s="4">
        <f t="shared" si="2"/>
        <v>138</v>
      </c>
    </row>
    <row r="6" ht="15.75" customHeight="1">
      <c r="D6" s="4" t="str">
        <f>IFERROR(__xludf.DUMMYFUNCTION("""COMPUTED_VALUE"""),"Fairly Used And In Bad Condition")</f>
        <v>Fairly Used And In Bad Condition</v>
      </c>
      <c r="E6" s="4">
        <f>IFERROR(__xludf.DUMMYFUNCTION("""COMPUTED_VALUE"""),1.0)</f>
        <v>1</v>
      </c>
      <c r="J6" s="7" t="s">
        <v>367</v>
      </c>
      <c r="K6" s="7">
        <f>COUNTIF(' Physical Assets'!J:J, J6)</f>
        <v>0</v>
      </c>
      <c r="M6" s="4" t="str">
        <f>IFERROR(__xludf.DUMMYFUNCTION("""COMPUTED_VALUE"""),"Counselor")</f>
        <v>Counselor</v>
      </c>
      <c r="N6" s="4">
        <f>IFERROR(__xludf.DUMMYFUNCTION("""COMPUTED_VALUE"""),1.0)</f>
        <v>1</v>
      </c>
      <c r="P6" s="4" t="str">
        <f>IFERROR(__xludf.DUMMYFUNCTION("""COMPUTED_VALUE"""),"IT &amp; Infrastructure Systems")</f>
        <v>IT &amp; Infrastructure Systems</v>
      </c>
      <c r="Q6" s="4">
        <f>IFERROR(__xludf.DUMMYFUNCTION("""COMPUTED_VALUE"""),1.0)</f>
        <v>1</v>
      </c>
      <c r="AA6" s="4" t="str">
        <f>IFERROR(__xludf.DUMMYFUNCTION("""COMPUTED_VALUE"""),"Basechan CRM / App")</f>
        <v>Basechan CRM / App</v>
      </c>
      <c r="AB6" s="4">
        <f>IFERROR(__xludf.DUMMYFUNCTION("""COMPUTED_VALUE"""),6.0)</f>
        <v>6</v>
      </c>
      <c r="AD6" s="5" t="s">
        <v>368</v>
      </c>
      <c r="AE6" s="4">
        <f>SUM(AE2:AE5)</f>
        <v>20</v>
      </c>
    </row>
    <row r="7" ht="15.75" customHeight="1">
      <c r="D7" s="4" t="str">
        <f>IFERROR(__xludf.DUMMYFUNCTION("""COMPUTED_VALUE"""),"Fairly Used And In Good Condition")</f>
        <v>Fairly Used And In Good Condition</v>
      </c>
      <c r="E7" s="4">
        <f>IFERROR(__xludf.DUMMYFUNCTION("""COMPUTED_VALUE"""),1.0)</f>
        <v>1</v>
      </c>
      <c r="J7" s="7" t="s">
        <v>338</v>
      </c>
      <c r="K7" s="7">
        <f>COUNTIF(' Physical Assets'!J:J, J7)</f>
        <v>0</v>
      </c>
      <c r="M7" s="4" t="str">
        <f>IFERROR(__xludf.DUMMYFUNCTION("""COMPUTED_VALUE"""),"Lead management/Marketing")</f>
        <v>Lead management/Marketing</v>
      </c>
      <c r="N7" s="4">
        <f>IFERROR(__xludf.DUMMYFUNCTION("""COMPUTED_VALUE"""),3.0)</f>
        <v>3</v>
      </c>
      <c r="P7" s="4" t="str">
        <f>IFERROR(__xludf.DUMMYFUNCTION("""COMPUTED_VALUE"""),"Management")</f>
        <v>Management</v>
      </c>
      <c r="Q7" s="4">
        <f>IFERROR(__xludf.DUMMYFUNCTION("""COMPUTED_VALUE"""),1.0)</f>
        <v>1</v>
      </c>
      <c r="AA7" s="4" t="str">
        <f>IFERROR(__xludf.DUMMYFUNCTION("""COMPUTED_VALUE"""),"Edvoy Portal")</f>
        <v>Edvoy Portal</v>
      </c>
      <c r="AB7" s="4">
        <f>IFERROR(__xludf.DUMMYFUNCTION("""COMPUTED_VALUE"""),4.0)</f>
        <v>4</v>
      </c>
      <c r="AH7" s="38" t="s">
        <v>10</v>
      </c>
      <c r="AI7" s="38" t="s">
        <v>348</v>
      </c>
      <c r="AJ7" s="38" t="s">
        <v>369</v>
      </c>
      <c r="AK7" s="38" t="s">
        <v>370</v>
      </c>
      <c r="AL7" s="38" t="s">
        <v>371</v>
      </c>
      <c r="AM7" s="38" t="s">
        <v>372</v>
      </c>
    </row>
    <row r="8" ht="15.75" customHeight="1">
      <c r="D8" s="4" t="str">
        <f>IFERROR(__xludf.DUMMYFUNCTION("""COMPUTED_VALUE"""),"Lags, Freezes, And Malfunctions Frequently")</f>
        <v>Lags, Freezes, And Malfunctions Frequently</v>
      </c>
      <c r="E8" s="4">
        <f>IFERROR(__xludf.DUMMYFUNCTION("""COMPUTED_VALUE"""),1.0)</f>
        <v>1</v>
      </c>
      <c r="J8" s="7" t="s">
        <v>373</v>
      </c>
      <c r="K8" s="7">
        <f>COUNTIF(' Physical Assets'!J:J, J8)</f>
        <v>0</v>
      </c>
      <c r="M8" s="4" t="str">
        <f>IFERROR(__xludf.DUMMYFUNCTION("""COMPUTED_VALUE"""),"Managemet")</f>
        <v>Managemet</v>
      </c>
      <c r="N8" s="4">
        <f>IFERROR(__xludf.DUMMYFUNCTION("""COMPUTED_VALUE"""),2.0)</f>
        <v>2</v>
      </c>
      <c r="P8" s="4" t="str">
        <f>IFERROR(__xludf.DUMMYFUNCTION("""COMPUTED_VALUE"""),"Marketing / Applications (Joint)")</f>
        <v>Marketing / Applications (Joint)</v>
      </c>
      <c r="Q8" s="4">
        <f>IFERROR(__xludf.DUMMYFUNCTION("""COMPUTED_VALUE"""),1.0)</f>
        <v>1</v>
      </c>
      <c r="AA8" s="4" t="str">
        <f>IFERROR(__xludf.DUMMYFUNCTION("""COMPUTED_VALUE"""),"Canva Pro")</f>
        <v>Canva Pro</v>
      </c>
      <c r="AB8" s="4">
        <f>IFERROR(__xludf.DUMMYFUNCTION("""COMPUTED_VALUE"""),3.0)</f>
        <v>3</v>
      </c>
      <c r="AH8" s="38" t="s">
        <v>61</v>
      </c>
      <c r="AI8" s="39">
        <f>COUNTIF('Staff Inventory'!I2:I10, "Abuja Branch")</f>
        <v>6</v>
      </c>
      <c r="AJ8" s="40">
        <v>5.0</v>
      </c>
      <c r="AK8" s="40">
        <v>2.0</v>
      </c>
      <c r="AL8" s="40">
        <v>1.0</v>
      </c>
      <c r="AM8" s="41">
        <f t="shared" ref="AM8:AM10" si="3">AK8/AI8</f>
        <v>0.3333333333</v>
      </c>
    </row>
    <row r="9" ht="15.75" customHeight="1">
      <c r="D9" s="4" t="str">
        <f>IFERROR(__xludf.DUMMYFUNCTION("""COMPUTED_VALUE"""),"New And In Good Condition")</f>
        <v>New And In Good Condition</v>
      </c>
      <c r="E9" s="4">
        <f>IFERROR(__xludf.DUMMYFUNCTION("""COMPUTED_VALUE"""),1.0)</f>
        <v>1</v>
      </c>
      <c r="M9" s="4" t="str">
        <f>IFERROR(__xludf.DUMMYFUNCTION("""COMPUTED_VALUE"""),"User")</f>
        <v>User</v>
      </c>
      <c r="N9" s="4">
        <f>IFERROR(__xludf.DUMMYFUNCTION("""COMPUTED_VALUE"""),3.0)</f>
        <v>3</v>
      </c>
      <c r="AA9" s="4" t="str">
        <f>IFERROR(__xludf.DUMMYFUNCTION("""COMPUTED_VALUE"""),"Firmli CRM")</f>
        <v>Firmli CRM</v>
      </c>
      <c r="AB9" s="4">
        <f>IFERROR(__xludf.DUMMYFUNCTION("""COMPUTED_VALUE"""),3.0)</f>
        <v>3</v>
      </c>
      <c r="AH9" s="38" t="s">
        <v>27</v>
      </c>
      <c r="AI9" s="39">
        <f>COUNTIF('Staff Inventory'!I2:I10, "Benin Branch")</f>
        <v>3</v>
      </c>
      <c r="AJ9" s="40">
        <v>0.0</v>
      </c>
      <c r="AK9" s="40">
        <v>3.0</v>
      </c>
      <c r="AL9" s="40">
        <v>0.0</v>
      </c>
      <c r="AM9" s="41">
        <f t="shared" si="3"/>
        <v>1</v>
      </c>
    </row>
    <row r="10" ht="15.75" customHeight="1">
      <c r="AA10" s="4" t="str">
        <f>IFERROR(__xludf.DUMMYFUNCTION("""COMPUTED_VALUE"""),"Microsoft 365")</f>
        <v>Microsoft 365</v>
      </c>
      <c r="AB10" s="4">
        <f>IFERROR(__xludf.DUMMYFUNCTION("""COMPUTED_VALUE"""),2.0)</f>
        <v>2</v>
      </c>
      <c r="AH10" s="38" t="s">
        <v>365</v>
      </c>
      <c r="AI10" s="39">
        <f t="shared" ref="AI10:AL10" si="4">SUM(AI8:AI9)</f>
        <v>9</v>
      </c>
      <c r="AJ10" s="39">
        <f t="shared" si="4"/>
        <v>5</v>
      </c>
      <c r="AK10" s="39">
        <f t="shared" si="4"/>
        <v>5</v>
      </c>
      <c r="AL10" s="39">
        <f t="shared" si="4"/>
        <v>1</v>
      </c>
      <c r="AM10" s="41">
        <f t="shared" si="3"/>
        <v>0.5555555556</v>
      </c>
    </row>
    <row r="11" ht="15.75" customHeight="1">
      <c r="AA11" s="4" t="str">
        <f>IFERROR(__xludf.DUMMYFUNCTION("""COMPUTED_VALUE"""),"Other Platforms")</f>
        <v>Other Platforms</v>
      </c>
      <c r="AB11" s="4">
        <f>IFERROR(__xludf.DUMMYFUNCTION("""COMPUTED_VALUE"""),1.0)</f>
        <v>1</v>
      </c>
      <c r="AH11" s="38" t="s">
        <v>374</v>
      </c>
      <c r="AI11" s="39">
        <f>AJ10-AL10</f>
        <v>4</v>
      </c>
      <c r="AJ11" s="39">
        <f>AJ10-AL10</f>
        <v>4</v>
      </c>
      <c r="AK11" s="40">
        <v>0.0</v>
      </c>
      <c r="AL11" s="40">
        <v>0.0</v>
      </c>
      <c r="AM11" s="38">
        <v>0.0</v>
      </c>
    </row>
    <row r="12" ht="15.75" customHeight="1">
      <c r="AH12" s="38" t="s">
        <v>375</v>
      </c>
      <c r="AI12" s="39">
        <f>AK10-AL10</f>
        <v>4</v>
      </c>
      <c r="AJ12" s="40">
        <v>0.0</v>
      </c>
      <c r="AK12" s="39">
        <f>AK10-AL10</f>
        <v>4</v>
      </c>
      <c r="AL12" s="40">
        <v>0.0</v>
      </c>
      <c r="AM12" s="38">
        <v>1.0</v>
      </c>
    </row>
    <row r="13" ht="15.75" customHeight="1"/>
    <row r="14" ht="15.75" customHeight="1"/>
    <row r="15" ht="15.75" customHeight="1"/>
    <row r="16" ht="15.75" customHeight="1"/>
    <row r="17" ht="15.75" customHeight="1">
      <c r="A17" s="42" t="s">
        <v>376</v>
      </c>
      <c r="B17" s="42" t="s">
        <v>377</v>
      </c>
      <c r="C17" s="42" t="s">
        <v>378</v>
      </c>
      <c r="D17" s="42" t="s">
        <v>379</v>
      </c>
      <c r="E17" s="42" t="s">
        <v>380</v>
      </c>
      <c r="F17" s="42" t="s">
        <v>381</v>
      </c>
    </row>
    <row r="18" ht="15.75" customHeight="1">
      <c r="A18" s="5" t="s">
        <v>382</v>
      </c>
      <c r="B18" s="5" t="s">
        <v>383</v>
      </c>
      <c r="C18" s="40">
        <v>7.0</v>
      </c>
      <c r="D18" s="40">
        <v>5.0</v>
      </c>
      <c r="E18" s="39">
        <f t="shared" ref="E18:E22" si="5">C18-D18</f>
        <v>2</v>
      </c>
      <c r="F18" s="41">
        <f t="shared" ref="F18:F23" si="6">D18/C18</f>
        <v>0.7142857143</v>
      </c>
    </row>
    <row r="19" ht="15.75" customHeight="1">
      <c r="A19" s="5" t="s">
        <v>384</v>
      </c>
      <c r="B19" s="5" t="s">
        <v>385</v>
      </c>
      <c r="C19" s="40">
        <v>5.0</v>
      </c>
      <c r="D19" s="40">
        <v>5.0</v>
      </c>
      <c r="E19" s="39">
        <f t="shared" si="5"/>
        <v>0</v>
      </c>
      <c r="F19" s="41">
        <f t="shared" si="6"/>
        <v>1</v>
      </c>
    </row>
    <row r="20" ht="15.75" customHeight="1">
      <c r="A20" s="5" t="s">
        <v>386</v>
      </c>
      <c r="B20" s="5" t="s">
        <v>387</v>
      </c>
      <c r="C20" s="40">
        <v>9.0</v>
      </c>
      <c r="D20" s="40">
        <v>5.0</v>
      </c>
      <c r="E20" s="39">
        <f t="shared" si="5"/>
        <v>4</v>
      </c>
      <c r="F20" s="41">
        <f t="shared" si="6"/>
        <v>0.5555555556</v>
      </c>
    </row>
    <row r="21" ht="15.75" customHeight="1">
      <c r="A21" s="5" t="s">
        <v>388</v>
      </c>
      <c r="B21" s="5" t="s">
        <v>389</v>
      </c>
      <c r="C21" s="40">
        <v>9.0</v>
      </c>
      <c r="D21" s="40">
        <v>5.0</v>
      </c>
      <c r="E21" s="39">
        <f t="shared" si="5"/>
        <v>4</v>
      </c>
      <c r="F21" s="41">
        <f t="shared" si="6"/>
        <v>0.5555555556</v>
      </c>
    </row>
    <row r="22" ht="15.75" customHeight="1">
      <c r="A22" s="42" t="s">
        <v>390</v>
      </c>
      <c r="B22" s="42" t="s">
        <v>389</v>
      </c>
      <c r="C22" s="43">
        <v>8.0</v>
      </c>
      <c r="D22" s="43">
        <v>5.0</v>
      </c>
      <c r="E22" s="44">
        <f t="shared" si="5"/>
        <v>3</v>
      </c>
      <c r="F22" s="45">
        <f t="shared" si="6"/>
        <v>0.625</v>
      </c>
    </row>
    <row r="23" ht="15.75" customHeight="1">
      <c r="A23" s="37" t="s">
        <v>391</v>
      </c>
      <c r="B23" s="37" t="s">
        <v>392</v>
      </c>
      <c r="C23" s="46">
        <f t="shared" ref="C23:E23" si="7">SUM(C18:C22)</f>
        <v>38</v>
      </c>
      <c r="D23" s="46">
        <f t="shared" si="7"/>
        <v>25</v>
      </c>
      <c r="E23" s="46">
        <f t="shared" si="7"/>
        <v>13</v>
      </c>
      <c r="F23" s="47">
        <f t="shared" si="6"/>
        <v>0.6578947368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